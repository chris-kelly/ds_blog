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chriskelly/Documents/dev2/safe_store/"/>
    </mc:Choice>
  </mc:AlternateContent>
  <xr:revisionPtr revIDLastSave="0" documentId="8_{177888AE-5B32-9D4F-B832-71AC64BE0D7F}" xr6:coauthVersionLast="43" xr6:coauthVersionMax="43" xr10:uidLastSave="{00000000-0000-0000-0000-000000000000}"/>
  <bookViews>
    <workbookView xWindow="0" yWindow="460" windowWidth="25600" windowHeight="14520" activeTab="2" xr2:uid="{68222658-626D-5C41-8C5A-65C66EED6AF9}"/>
  </bookViews>
  <sheets>
    <sheet name="Tutorial" sheetId="12" r:id="rId1"/>
    <sheet name="HowTo" sheetId="13" r:id="rId2"/>
    <sheet name="neural_net" sheetId="1" r:id="rId3"/>
    <sheet name="MSE" sheetId="4" r:id="rId4"/>
    <sheet name="weights" sheetId="5" r:id="rId5"/>
    <sheet name="Predictions vs actual" sheetId="9" state="hidden" r:id="rId6"/>
    <sheet name="new_training_data" sheetId="7" r:id="rId7"/>
    <sheet name="result" sheetId="3" r:id="rId8"/>
    <sheet name="initial_random_weights" sheetId="2" r:id="rId9"/>
    <sheet name="Sheet2" sheetId="10" state="hidden" r:id="rId10"/>
  </sheets>
  <externalReferences>
    <externalReference r:id="rId11"/>
  </externalReferences>
  <definedNames>
    <definedName name="a_10">neural_net!$O$14:$O$113</definedName>
    <definedName name="a_11">neural_net!$P$14:$P$113</definedName>
    <definedName name="a_12">neural_net!$Q$14:$Q$113</definedName>
    <definedName name="a_13">neural_net!$R$14:$R$113</definedName>
    <definedName name="a_14">neural_net!$S$14:$S$113</definedName>
    <definedName name="a_20">neural_net!$AD$14:$AD$113</definedName>
    <definedName name="a_21">neural_net!$AE$14:$AE$113</definedName>
    <definedName name="a_21d">neural_net!$AH$14:$AH$113</definedName>
    <definedName name="a_22">neural_net!$AF$14:$AF$113</definedName>
    <definedName name="a_22d">neural_net!$AI$14:$AI$113</definedName>
    <definedName name="a_23">neural_net!$AG$14:$AG$113</definedName>
    <definedName name="a_23d">neural_net!$AJ$14:$AJ$113</definedName>
    <definedName name="a_30">neural_net!$AS$14:$AS$113</definedName>
    <definedName name="a_31">neural_net!$AT$14:$AT$113</definedName>
    <definedName name="a_31d">neural_net!$AV$14:$AV$113</definedName>
    <definedName name="a_32">neural_net!$AU$14:$AU$113</definedName>
    <definedName name="a_32d">neural_net!$AW$14:$AW$113</definedName>
    <definedName name="a_4">neural_net!$BD$14:$BD$113</definedName>
    <definedName name="a_41">[1]Calc!$AY$7:$AY$31</definedName>
    <definedName name="a_4d">neural_net!$BE$14:$BE$113</definedName>
    <definedName name="activation_2">neural_net!$AD$6</definedName>
    <definedName name="activation_3">neural_net!$AS$6</definedName>
    <definedName name="activation_4">neural_net!$BD$6</definedName>
    <definedName name="activation_choices">Sheet2!$B$1:$B$4</definedName>
    <definedName name="adam_1">neural_net!$V$41:$X$45</definedName>
    <definedName name="adam_2">neural_net!$AM$41:$AN$44</definedName>
    <definedName name="adam_3">neural_net!$AZ$41:$AZ$43</definedName>
    <definedName name="alpha">[1]Calc!$J$2</definedName>
    <definedName name="back_prog_ref">[1]Calc!$L$35</definedName>
    <definedName name="batch_bool">neural_net!$L$14:$L$113</definedName>
    <definedName name="batch_cnt">neural_net!$M$3</definedName>
    <definedName name="batch_num">neural_net!$M$2</definedName>
    <definedName name="batch_size">neural_net!$F$3</definedName>
    <definedName name="beta_1">neural_net!$F$7</definedName>
    <definedName name="beta_2">neural_net!$F$8</definedName>
    <definedName name="cv_h_x">neural_net!$BD$116:$BD$165</definedName>
    <definedName name="cv_y">neural_net!$N$116:$N$165</definedName>
    <definedName name="d_21">neural_net!$V$21</definedName>
    <definedName name="d_22">neural_net!$W$21</definedName>
    <definedName name="d_23">neural_net!$X$21</definedName>
    <definedName name="d_3">neural_net!$AM$21:$AN$21</definedName>
    <definedName name="d_30">neural_net!$AL$21</definedName>
    <definedName name="d_31">neural_net!$AM$21</definedName>
    <definedName name="d_32">neural_net!$AN$21</definedName>
    <definedName name="d_4">neural_net!$AZ$21</definedName>
    <definedName name="dropout_active">neural_net!$F$5</definedName>
    <definedName name="example_ref">[1]Calc!$L$7:$L$31</definedName>
    <definedName name="h_x" localSheetId="0">[1]Calc!$H$7:$H$31</definedName>
    <definedName name="h_x">neural_net!$BD$14:$BD$113</definedName>
    <definedName name="id">neural_net!$B$14:$B$113</definedName>
    <definedName name="id_shuf">neural_net!$J$14:$J$113</definedName>
    <definedName name="lambda">neural_net!$F$4</definedName>
    <definedName name="learning_rate">neural_net!$F$2</definedName>
    <definedName name="mean_squared_error">result!$B$2:$B$301</definedName>
    <definedName name="momentum_1">neural_net!$V$29:$X$33</definedName>
    <definedName name="momentum_2">neural_net!$AM$29:$AN$32</definedName>
    <definedName name="momentum_3">neural_net!$AZ$29:$AZ$31</definedName>
    <definedName name="new_cv_data">new_training_data!$B$102:$E$151</definedName>
    <definedName name="new_training_data">new_training_data!$B$2:$E$101</definedName>
    <definedName name="old_cv_data">neural_net!$C$116:$F$165</definedName>
    <definedName name="old_training_data">neural_net!$C$14:$F$113</definedName>
    <definedName name="optimization">neural_net!$F$6</definedName>
    <definedName name="optimization_choices">Sheet2!$A$1:$A$4</definedName>
    <definedName name="rms_prop_1">neural_net!$V$35:$X$39</definedName>
    <definedName name="rms_prop_2">neural_net!$AM$35:$AN$38</definedName>
    <definedName name="rms_prop_3">neural_net!$AZ$35:$AZ$37</definedName>
    <definedName name="s_dtheta_1">neural_net!$V$59:$X$63</definedName>
    <definedName name="s_dtheta_2">neural_net!$AM$59:$AN$62</definedName>
    <definedName name="s_dtheta_3">neural_net!$AZ$59:$AZ$61</definedName>
    <definedName name="shuffle">neural_net!$I$14:$I$113</definedName>
    <definedName name="tester">neural_net!$Q$2</definedName>
    <definedName name="theta_1">neural_net!$V$14:$X$18</definedName>
    <definedName name="theta_1_new">neural_net!$V$47:$X$51</definedName>
    <definedName name="theta_11">neural_net!$V$14:$V$18</definedName>
    <definedName name="theta_12">neural_net!$W$14:$W$18</definedName>
    <definedName name="theta_13">neural_net!$X$14:$X$18</definedName>
    <definedName name="theta_2">neural_net!$AM$14:$AN$17</definedName>
    <definedName name="theta_2_0">neural_net!$AM$14:$AN$14</definedName>
    <definedName name="theta_2_1">neural_net!$AM$15:$AN$15</definedName>
    <definedName name="theta_2_2">neural_net!$AM$16:$AN$16</definedName>
    <definedName name="theta_2_3">neural_net!$AM$17:$AN$17</definedName>
    <definedName name="theta_2_new">neural_net!$AM$47:$AN$50</definedName>
    <definedName name="theta_21">neural_net!$AM$14:$AM$17</definedName>
    <definedName name="theta_210">neural_net!$AM$14</definedName>
    <definedName name="theta_211">neural_net!$AM$15</definedName>
    <definedName name="theta_212">neural_net!$AM$16</definedName>
    <definedName name="theta_213">neural_net!$AM$17</definedName>
    <definedName name="theta_22">neural_net!$AN$14:$AN$17</definedName>
    <definedName name="theta_220">neural_net!$AN$14</definedName>
    <definedName name="theta_221">neural_net!$AN$15</definedName>
    <definedName name="theta_222">neural_net!$AN$16</definedName>
    <definedName name="theta_223">neural_net!$AN$17</definedName>
    <definedName name="theta_3">neural_net!$AZ$14:$AZ$16</definedName>
    <definedName name="theta_3_new">neural_net!$AZ$47:$AZ$49</definedName>
    <definedName name="theta_31">neural_net!$AZ$14:$AZ$16</definedName>
    <definedName name="theta_310">neural_net!$AZ$14</definedName>
    <definedName name="theta_311">neural_net!$AZ$15</definedName>
    <definedName name="theta_312">neural_net!$AZ$16</definedName>
    <definedName name="total_cost">neural_net!$M$4</definedName>
    <definedName name="v_dtheta_1">neural_net!$V$53:$X$57</definedName>
    <definedName name="v_dtheta_2">neural_net!$AM$53:$AN$56</definedName>
    <definedName name="v_dtheta_3">neural_net!$AZ$53:$AZ$55</definedName>
    <definedName name="validation_cost">neural_net!$M$6</definedName>
    <definedName name="weights_current">neural_net!$V$14:$X$18,neural_net!$AM$14:$AN$17,neural_net!$AZ$14:$AZ$16</definedName>
    <definedName name="weights_new">neural_net!$V$47:$X$51,neural_net!$AM$29:$AN$33,neural_net!$AZ$47:$AZ$49</definedName>
    <definedName name="x_1" localSheetId="0">[1]Calc!$C$7:$C$31</definedName>
    <definedName name="X_1">neural_net!$C$14:$C$113</definedName>
    <definedName name="x_2" localSheetId="0">[1]Calc!$D$7:$D$31</definedName>
    <definedName name="X_2">neural_net!$D$14:$D$113</definedName>
    <definedName name="x_3" localSheetId="0">[1]Calc!$E$7:$E$31</definedName>
    <definedName name="X_3">neural_net!$E$14:$E$113</definedName>
    <definedName name="x_4" localSheetId="0">[1]Calc!$F$7:$F$31</definedName>
    <definedName name="X_4">neural_net!$F$14:$F$113</definedName>
    <definedName name="y">neural_net!$G$14:$G$113</definedName>
    <definedName name="y_all">[1]Calc!$G$7:$G$31</definedName>
    <definedName name="y_shuf">neural_net!$N$14:$N$113</definedName>
    <definedName name="z_4">neural_net!$BB$14:$BB$113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165" i="1" l="1"/>
  <c r="G164" i="1"/>
  <c r="G163" i="1"/>
  <c r="G162" i="1"/>
  <c r="G161" i="1"/>
  <c r="G160" i="1"/>
  <c r="G159" i="1"/>
  <c r="G158" i="1"/>
  <c r="G157" i="1"/>
  <c r="G156" i="1"/>
  <c r="G155" i="1"/>
  <c r="G154" i="1"/>
  <c r="G153" i="1"/>
  <c r="G152" i="1"/>
  <c r="G151" i="1"/>
  <c r="G150" i="1"/>
  <c r="G149" i="1"/>
  <c r="G148" i="1"/>
  <c r="G147" i="1"/>
  <c r="G146" i="1"/>
  <c r="G145" i="1"/>
  <c r="G144" i="1"/>
  <c r="G143" i="1"/>
  <c r="G142" i="1"/>
  <c r="G141" i="1"/>
  <c r="G140" i="1"/>
  <c r="G139" i="1"/>
  <c r="G138" i="1"/>
  <c r="G137" i="1"/>
  <c r="G136" i="1"/>
  <c r="G135" i="1"/>
  <c r="G134" i="1"/>
  <c r="G133" i="1"/>
  <c r="G132" i="1"/>
  <c r="G131" i="1"/>
  <c r="G130" i="1"/>
  <c r="G129" i="1"/>
  <c r="G128" i="1"/>
  <c r="G127" i="1"/>
  <c r="G126" i="1"/>
  <c r="G125" i="1"/>
  <c r="G124" i="1"/>
  <c r="G123" i="1"/>
  <c r="G122" i="1"/>
  <c r="G121" i="1"/>
  <c r="G120" i="1"/>
  <c r="G119" i="1"/>
  <c r="G118" i="1"/>
  <c r="G117" i="1"/>
  <c r="G116" i="1"/>
  <c r="G113" i="1"/>
  <c r="G112" i="1"/>
  <c r="G111" i="1"/>
  <c r="G110" i="1"/>
  <c r="G109" i="1"/>
  <c r="G108" i="1"/>
  <c r="G107" i="1"/>
  <c r="G106" i="1"/>
  <c r="G105" i="1"/>
  <c r="G104" i="1"/>
  <c r="G103" i="1"/>
  <c r="G102" i="1"/>
  <c r="G101" i="1"/>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N14" i="1"/>
  <c r="BF14" i="1" l="1"/>
  <c r="H3" i="2"/>
  <c r="H2" i="2"/>
  <c r="H1" i="2"/>
  <c r="F4" i="2"/>
  <c r="E4" i="2"/>
  <c r="F3" i="2"/>
  <c r="E3" i="2"/>
  <c r="F2" i="2"/>
  <c r="E2" i="2"/>
  <c r="F1" i="2"/>
  <c r="E1" i="2"/>
  <c r="C5" i="2"/>
  <c r="B5" i="2"/>
  <c r="A5" i="2"/>
  <c r="C4" i="2"/>
  <c r="B4" i="2"/>
  <c r="A4" i="2"/>
  <c r="C3" i="2"/>
  <c r="B3" i="2"/>
  <c r="A3" i="2"/>
  <c r="C2" i="2"/>
  <c r="B2" i="2"/>
  <c r="A2" i="2"/>
  <c r="C1" i="2"/>
  <c r="B1" i="2"/>
  <c r="A1" i="2"/>
  <c r="E150" i="7" l="1"/>
  <c r="D150" i="7"/>
  <c r="C150" i="7"/>
  <c r="B150" i="7"/>
  <c r="E149" i="7"/>
  <c r="D149" i="7"/>
  <c r="C149" i="7"/>
  <c r="B149" i="7"/>
  <c r="E148" i="7"/>
  <c r="D148" i="7"/>
  <c r="C148" i="7"/>
  <c r="B148" i="7"/>
  <c r="E147" i="7"/>
  <c r="D147" i="7"/>
  <c r="C147" i="7"/>
  <c r="B147" i="7"/>
  <c r="E146" i="7"/>
  <c r="D146" i="7"/>
  <c r="C146" i="7"/>
  <c r="B146" i="7"/>
  <c r="E145" i="7"/>
  <c r="D145" i="7"/>
  <c r="C145" i="7"/>
  <c r="B145" i="7"/>
  <c r="E144" i="7"/>
  <c r="D144" i="7"/>
  <c r="C144" i="7"/>
  <c r="B144" i="7"/>
  <c r="E143" i="7"/>
  <c r="D143" i="7"/>
  <c r="C143" i="7"/>
  <c r="B143" i="7"/>
  <c r="E142" i="7"/>
  <c r="D142" i="7"/>
  <c r="C142" i="7"/>
  <c r="B142" i="7"/>
  <c r="E141" i="7"/>
  <c r="D141" i="7"/>
  <c r="C141" i="7"/>
  <c r="B141" i="7"/>
  <c r="E140" i="7"/>
  <c r="D140" i="7"/>
  <c r="C140" i="7"/>
  <c r="B140" i="7"/>
  <c r="E139" i="7"/>
  <c r="D139" i="7"/>
  <c r="C139" i="7"/>
  <c r="B139" i="7"/>
  <c r="E138" i="7"/>
  <c r="D138" i="7"/>
  <c r="C138" i="7"/>
  <c r="B138" i="7"/>
  <c r="E137" i="7"/>
  <c r="D137" i="7"/>
  <c r="C137" i="7"/>
  <c r="B137" i="7"/>
  <c r="E136" i="7"/>
  <c r="D136" i="7"/>
  <c r="C136" i="7"/>
  <c r="B136" i="7"/>
  <c r="E135" i="7"/>
  <c r="D135" i="7"/>
  <c r="C135" i="7"/>
  <c r="B135" i="7"/>
  <c r="E134" i="7"/>
  <c r="D134" i="7"/>
  <c r="C134" i="7"/>
  <c r="B134" i="7"/>
  <c r="E133" i="7"/>
  <c r="D133" i="7"/>
  <c r="C133" i="7"/>
  <c r="B133" i="7"/>
  <c r="E132" i="7"/>
  <c r="D132" i="7"/>
  <c r="C132" i="7"/>
  <c r="B132" i="7"/>
  <c r="E131" i="7"/>
  <c r="D131" i="7"/>
  <c r="C131" i="7"/>
  <c r="B131" i="7"/>
  <c r="E130" i="7"/>
  <c r="D130" i="7"/>
  <c r="C130" i="7"/>
  <c r="B130" i="7"/>
  <c r="E129" i="7"/>
  <c r="D129" i="7"/>
  <c r="C129" i="7"/>
  <c r="B129" i="7"/>
  <c r="E128" i="7"/>
  <c r="D128" i="7"/>
  <c r="C128" i="7"/>
  <c r="B128" i="7"/>
  <c r="E127" i="7"/>
  <c r="D127" i="7"/>
  <c r="C127" i="7"/>
  <c r="B127" i="7"/>
  <c r="E126" i="7"/>
  <c r="D126" i="7"/>
  <c r="C126" i="7"/>
  <c r="B126" i="7"/>
  <c r="E125" i="7"/>
  <c r="D125" i="7"/>
  <c r="C125" i="7"/>
  <c r="B125" i="7"/>
  <c r="E124" i="7"/>
  <c r="D124" i="7"/>
  <c r="C124" i="7"/>
  <c r="B124" i="7"/>
  <c r="E123" i="7"/>
  <c r="D123" i="7"/>
  <c r="C123" i="7"/>
  <c r="B123" i="7"/>
  <c r="E122" i="7"/>
  <c r="D122" i="7"/>
  <c r="C122" i="7"/>
  <c r="B122" i="7"/>
  <c r="E121" i="7"/>
  <c r="D121" i="7"/>
  <c r="C121" i="7"/>
  <c r="B121" i="7"/>
  <c r="E120" i="7"/>
  <c r="D120" i="7"/>
  <c r="C120" i="7"/>
  <c r="B120" i="7"/>
  <c r="E119" i="7"/>
  <c r="D119" i="7"/>
  <c r="C119" i="7"/>
  <c r="B119" i="7"/>
  <c r="E118" i="7"/>
  <c r="D118" i="7"/>
  <c r="C118" i="7"/>
  <c r="B118" i="7"/>
  <c r="E117" i="7"/>
  <c r="D117" i="7"/>
  <c r="C117" i="7"/>
  <c r="B117" i="7"/>
  <c r="E116" i="7"/>
  <c r="D116" i="7"/>
  <c r="C116" i="7"/>
  <c r="B116" i="7"/>
  <c r="E115" i="7"/>
  <c r="D115" i="7"/>
  <c r="C115" i="7"/>
  <c r="B115" i="7"/>
  <c r="E114" i="7"/>
  <c r="D114" i="7"/>
  <c r="C114" i="7"/>
  <c r="B114" i="7"/>
  <c r="E113" i="7"/>
  <c r="D113" i="7"/>
  <c r="C113" i="7"/>
  <c r="B113" i="7"/>
  <c r="E112" i="7"/>
  <c r="D112" i="7"/>
  <c r="C112" i="7"/>
  <c r="B112" i="7"/>
  <c r="E111" i="7"/>
  <c r="D111" i="7"/>
  <c r="C111" i="7"/>
  <c r="B111" i="7"/>
  <c r="E110" i="7"/>
  <c r="D110" i="7"/>
  <c r="C110" i="7"/>
  <c r="B110" i="7"/>
  <c r="E109" i="7"/>
  <c r="D109" i="7"/>
  <c r="C109" i="7"/>
  <c r="B109" i="7"/>
  <c r="E108" i="7"/>
  <c r="D108" i="7"/>
  <c r="C108" i="7"/>
  <c r="B108" i="7"/>
  <c r="E107" i="7"/>
  <c r="D107" i="7"/>
  <c r="C107" i="7"/>
  <c r="B107" i="7"/>
  <c r="E106" i="7"/>
  <c r="D106" i="7"/>
  <c r="C106" i="7"/>
  <c r="B106" i="7"/>
  <c r="E105" i="7"/>
  <c r="D105" i="7"/>
  <c r="C105" i="7"/>
  <c r="B105" i="7"/>
  <c r="E104" i="7"/>
  <c r="D104" i="7"/>
  <c r="C104" i="7"/>
  <c r="B104" i="7"/>
  <c r="E103" i="7"/>
  <c r="D103" i="7"/>
  <c r="C103" i="7"/>
  <c r="B103" i="7"/>
  <c r="E102" i="7"/>
  <c r="D102" i="7"/>
  <c r="C102" i="7"/>
  <c r="B102" i="7"/>
  <c r="E101" i="7"/>
  <c r="D101" i="7"/>
  <c r="C101" i="7"/>
  <c r="B101" i="7"/>
  <c r="E151" i="7"/>
  <c r="D151" i="7"/>
  <c r="C151" i="7"/>
  <c r="B151" i="7"/>
  <c r="S125" i="1"/>
  <c r="P147" i="1"/>
  <c r="P157" i="1"/>
  <c r="Q129" i="1"/>
  <c r="R163" i="1"/>
  <c r="Q153" i="1"/>
  <c r="S134" i="1"/>
  <c r="R160" i="1"/>
  <c r="R129" i="1"/>
  <c r="S127" i="1"/>
  <c r="R151" i="1"/>
  <c r="R121" i="1"/>
  <c r="S145" i="1"/>
  <c r="Q152" i="1"/>
  <c r="S146" i="1"/>
  <c r="R155" i="1"/>
  <c r="R123" i="1"/>
  <c r="R154" i="1"/>
  <c r="S157" i="1"/>
  <c r="Q141" i="1"/>
  <c r="P156" i="1"/>
  <c r="S126" i="1"/>
  <c r="Q120" i="1"/>
  <c r="R152" i="1"/>
  <c r="Q159" i="1"/>
  <c r="S128" i="1"/>
  <c r="Q161" i="1"/>
  <c r="P150" i="1"/>
  <c r="S143" i="1"/>
  <c r="P155" i="1"/>
  <c r="P141" i="1"/>
  <c r="S144" i="1"/>
  <c r="P133" i="1"/>
  <c r="R140" i="1"/>
  <c r="R118" i="1"/>
  <c r="Q157" i="1"/>
  <c r="P127" i="1"/>
  <c r="R131" i="1"/>
  <c r="Q145" i="1"/>
  <c r="Q122" i="1"/>
  <c r="P154" i="1"/>
  <c r="S122" i="1"/>
  <c r="Q144" i="1"/>
  <c r="S160" i="1"/>
  <c r="P165" i="1"/>
  <c r="Q137" i="1"/>
  <c r="R142" i="1"/>
  <c r="P160" i="1"/>
  <c r="Q128" i="1"/>
  <c r="P159" i="1"/>
  <c r="Q142" i="1"/>
  <c r="S135" i="1"/>
  <c r="S158" i="1"/>
  <c r="S116" i="1"/>
  <c r="Q150" i="1"/>
  <c r="Q116" i="1"/>
  <c r="R120" i="1"/>
  <c r="P137" i="1"/>
  <c r="P131" i="1"/>
  <c r="S119" i="1"/>
  <c r="P158" i="1"/>
  <c r="S118" i="1"/>
  <c r="R138" i="1"/>
  <c r="R158" i="1"/>
  <c r="P138" i="1"/>
  <c r="P123" i="1"/>
  <c r="P162" i="1"/>
  <c r="Q117" i="1"/>
  <c r="S150" i="1"/>
  <c r="S129" i="1"/>
  <c r="Q118" i="1"/>
  <c r="Q125" i="1"/>
  <c r="S161" i="1"/>
  <c r="R153" i="1"/>
  <c r="Q127" i="1"/>
  <c r="R135" i="1"/>
  <c r="S123" i="1"/>
  <c r="Q154" i="1"/>
  <c r="S164" i="1"/>
  <c r="S120" i="1"/>
  <c r="S117" i="1"/>
  <c r="R148" i="1"/>
  <c r="R147" i="1"/>
  <c r="Q155" i="1"/>
  <c r="Q121" i="1"/>
  <c r="R139" i="1"/>
  <c r="Q123" i="1"/>
  <c r="Q135" i="1"/>
  <c r="Q162" i="1"/>
  <c r="R128" i="1"/>
  <c r="R124" i="1"/>
  <c r="R145" i="1"/>
  <c r="P153" i="1"/>
  <c r="P145" i="1"/>
  <c r="R116" i="1"/>
  <c r="S141" i="1"/>
  <c r="S149" i="1"/>
  <c r="S136" i="1"/>
  <c r="Q124" i="1"/>
  <c r="R144" i="1"/>
  <c r="R162" i="1"/>
  <c r="P142" i="1"/>
  <c r="S142" i="1"/>
  <c r="R117" i="1"/>
  <c r="R150" i="1"/>
  <c r="R132" i="1"/>
  <c r="R149" i="1"/>
  <c r="Q140" i="1"/>
  <c r="S154" i="1"/>
  <c r="S139" i="1"/>
  <c r="P143" i="1"/>
  <c r="P139" i="1"/>
  <c r="R125" i="1"/>
  <c r="S147" i="1"/>
  <c r="R157" i="1"/>
  <c r="P136" i="1"/>
  <c r="R146" i="1"/>
  <c r="Q143" i="1"/>
  <c r="P117" i="1"/>
  <c r="P120" i="1"/>
  <c r="P134" i="1"/>
  <c r="S162" i="1"/>
  <c r="Q138" i="1"/>
  <c r="P152" i="1"/>
  <c r="P148" i="1"/>
  <c r="P126" i="1"/>
  <c r="Q130" i="1"/>
  <c r="Q160" i="1"/>
  <c r="S121" i="1"/>
  <c r="Q149" i="1"/>
  <c r="R161" i="1"/>
  <c r="P128" i="1"/>
  <c r="S152" i="1"/>
  <c r="R133" i="1"/>
  <c r="P151" i="1"/>
  <c r="R130" i="1"/>
  <c r="S159" i="1"/>
  <c r="R137" i="1"/>
  <c r="S137" i="1"/>
  <c r="P116" i="1"/>
  <c r="R156" i="1"/>
  <c r="Q156" i="1"/>
  <c r="P144" i="1"/>
  <c r="S132" i="1"/>
  <c r="R126" i="1"/>
  <c r="Q134" i="1"/>
  <c r="P161" i="1"/>
  <c r="R165" i="1"/>
  <c r="S156" i="1"/>
  <c r="Q151" i="1"/>
  <c r="Q126" i="1"/>
  <c r="P125" i="1"/>
  <c r="S138" i="1"/>
  <c r="Q139" i="1"/>
  <c r="P163" i="1"/>
  <c r="Q148" i="1"/>
  <c r="P124" i="1"/>
  <c r="S140" i="1"/>
  <c r="S155" i="1"/>
  <c r="S148" i="1"/>
  <c r="R122" i="1"/>
  <c r="Q132" i="1"/>
  <c r="Q164" i="1"/>
  <c r="P164" i="1"/>
  <c r="S163" i="1"/>
  <c r="P146" i="1"/>
  <c r="R141" i="1"/>
  <c r="S131" i="1"/>
  <c r="P129" i="1"/>
  <c r="Q131" i="1"/>
  <c r="S153" i="1"/>
  <c r="Q133" i="1"/>
  <c r="S130" i="1"/>
  <c r="P119" i="1"/>
  <c r="Q119" i="1"/>
  <c r="R119" i="1"/>
  <c r="S133" i="1"/>
  <c r="R127" i="1"/>
  <c r="Q158" i="1"/>
  <c r="P121" i="1"/>
  <c r="P140" i="1"/>
  <c r="Q165" i="1"/>
  <c r="S124" i="1"/>
  <c r="Q136" i="1"/>
  <c r="P135" i="1"/>
  <c r="P132" i="1"/>
  <c r="Q147" i="1"/>
  <c r="Q163" i="1"/>
  <c r="S165" i="1"/>
  <c r="R134" i="1"/>
  <c r="S151" i="1"/>
  <c r="P122" i="1"/>
  <c r="R143" i="1"/>
  <c r="P130" i="1"/>
  <c r="Q146" i="1"/>
  <c r="R136" i="1"/>
  <c r="R159" i="1"/>
  <c r="R164" i="1"/>
  <c r="P149" i="1"/>
  <c r="P118" i="1"/>
  <c r="Z116" i="1" l="1"/>
  <c r="AE116" i="1" s="1"/>
  <c r="AA121" i="1"/>
  <c r="AB121" i="1"/>
  <c r="Z121" i="1"/>
  <c r="AB125" i="1"/>
  <c r="AA125" i="1"/>
  <c r="Z125" i="1"/>
  <c r="AB145" i="1"/>
  <c r="AA145" i="1"/>
  <c r="Z145" i="1"/>
  <c r="AB149" i="1"/>
  <c r="Z149" i="1"/>
  <c r="AA149" i="1"/>
  <c r="AB129" i="1"/>
  <c r="AA129" i="1"/>
  <c r="Z129" i="1"/>
  <c r="Z133" i="1"/>
  <c r="AB133" i="1"/>
  <c r="AA133" i="1"/>
  <c r="Z137" i="1"/>
  <c r="AB137" i="1"/>
  <c r="AA137" i="1"/>
  <c r="Z153" i="1"/>
  <c r="AB153" i="1"/>
  <c r="AA153" i="1"/>
  <c r="AB157" i="1"/>
  <c r="AA157" i="1"/>
  <c r="Z157" i="1"/>
  <c r="AB161" i="1"/>
  <c r="AA161" i="1"/>
  <c r="Z161" i="1"/>
  <c r="Z122" i="1"/>
  <c r="AA122" i="1"/>
  <c r="AB122" i="1"/>
  <c r="Z126" i="1"/>
  <c r="AA126" i="1"/>
  <c r="AB126" i="1"/>
  <c r="Z134" i="1"/>
  <c r="AB134" i="1"/>
  <c r="AA134" i="1"/>
  <c r="Z138" i="1"/>
  <c r="AB138" i="1"/>
  <c r="AA138" i="1"/>
  <c r="Z150" i="1"/>
  <c r="AB150" i="1"/>
  <c r="AA150" i="1"/>
  <c r="Z158" i="1"/>
  <c r="AB158" i="1"/>
  <c r="AA158" i="1"/>
  <c r="AA123" i="1"/>
  <c r="Z123" i="1"/>
  <c r="AB123" i="1"/>
  <c r="AA131" i="1"/>
  <c r="Z131" i="1"/>
  <c r="AB131" i="1"/>
  <c r="AA139" i="1"/>
  <c r="Z139" i="1"/>
  <c r="AB139" i="1"/>
  <c r="AA147" i="1"/>
  <c r="AB147" i="1"/>
  <c r="Z147" i="1"/>
  <c r="AA151" i="1"/>
  <c r="Z151" i="1"/>
  <c r="AB151" i="1"/>
  <c r="AA155" i="1"/>
  <c r="Z155" i="1"/>
  <c r="AB155" i="1"/>
  <c r="AA159" i="1"/>
  <c r="Z159" i="1"/>
  <c r="AB159" i="1"/>
  <c r="AA163" i="1"/>
  <c r="Z163" i="1"/>
  <c r="AB163" i="1"/>
  <c r="AB141" i="1"/>
  <c r="AA141" i="1"/>
  <c r="Z141" i="1"/>
  <c r="Z130" i="1"/>
  <c r="AB130" i="1"/>
  <c r="AA130" i="1"/>
  <c r="Z142" i="1"/>
  <c r="AA142" i="1"/>
  <c r="AB142" i="1"/>
  <c r="Z146" i="1"/>
  <c r="AB146" i="1"/>
  <c r="AA146" i="1"/>
  <c r="Z154" i="1"/>
  <c r="AA154" i="1"/>
  <c r="AB154" i="1"/>
  <c r="Z162" i="1"/>
  <c r="AB162" i="1"/>
  <c r="AA162" i="1"/>
  <c r="AA127" i="1"/>
  <c r="AB127" i="1"/>
  <c r="Z127" i="1"/>
  <c r="AA135" i="1"/>
  <c r="Z135" i="1"/>
  <c r="AB135" i="1"/>
  <c r="AA143" i="1"/>
  <c r="Z143" i="1"/>
  <c r="AB143" i="1"/>
  <c r="AB124" i="1"/>
  <c r="AA124" i="1"/>
  <c r="Z124" i="1"/>
  <c r="AB128" i="1"/>
  <c r="AA128" i="1"/>
  <c r="Z128" i="1"/>
  <c r="AB132" i="1"/>
  <c r="AA132" i="1"/>
  <c r="Z132" i="1"/>
  <c r="AB136" i="1"/>
  <c r="AA136" i="1"/>
  <c r="Z136" i="1"/>
  <c r="AB140" i="1"/>
  <c r="AA140" i="1"/>
  <c r="Z140" i="1"/>
  <c r="AB144" i="1"/>
  <c r="AA144" i="1"/>
  <c r="Z144" i="1"/>
  <c r="AB148" i="1"/>
  <c r="AA148" i="1"/>
  <c r="Z148" i="1"/>
  <c r="AB152" i="1"/>
  <c r="AA152" i="1"/>
  <c r="Z152" i="1"/>
  <c r="AB156" i="1"/>
  <c r="AA156" i="1"/>
  <c r="Z156" i="1"/>
  <c r="AB160" i="1"/>
  <c r="AA160" i="1"/>
  <c r="Z160" i="1"/>
  <c r="AB164" i="1"/>
  <c r="AA164" i="1"/>
  <c r="Z164" i="1"/>
  <c r="AB165" i="1"/>
  <c r="Z165" i="1"/>
  <c r="AA165" i="1"/>
  <c r="AA116" i="1"/>
  <c r="AF116" i="1" s="1"/>
  <c r="AB116" i="1"/>
  <c r="AG116" i="1" s="1"/>
  <c r="AB117" i="1"/>
  <c r="Z117" i="1"/>
  <c r="AA117" i="1"/>
  <c r="AB118" i="1"/>
  <c r="AA118" i="1"/>
  <c r="Z118" i="1"/>
  <c r="Z119" i="1"/>
  <c r="AB119" i="1"/>
  <c r="AA119" i="1"/>
  <c r="AA120" i="1"/>
  <c r="Z120" i="1"/>
  <c r="AB120" i="1"/>
  <c r="N152" i="1"/>
  <c r="N142" i="1"/>
  <c r="N158" i="1"/>
  <c r="N153" i="1"/>
  <c r="N145" i="1"/>
  <c r="N125" i="1"/>
  <c r="N163" i="1"/>
  <c r="N154" i="1"/>
  <c r="N162" i="1"/>
  <c r="N120" i="1"/>
  <c r="N148" i="1"/>
  <c r="N157" i="1"/>
  <c r="N147" i="1"/>
  <c r="N156" i="1"/>
  <c r="N119" i="1"/>
  <c r="N139" i="1"/>
  <c r="N123" i="1"/>
  <c r="N134" i="1"/>
  <c r="N128" i="1"/>
  <c r="N164" i="1"/>
  <c r="N135" i="1"/>
  <c r="N140" i="1"/>
  <c r="N137" i="1"/>
  <c r="N143" i="1"/>
  <c r="N144" i="1"/>
  <c r="N160" i="1"/>
  <c r="N146" i="1"/>
  <c r="N117" i="1"/>
  <c r="N141" i="1"/>
  <c r="N155" i="1"/>
  <c r="N132" i="1"/>
  <c r="N136" i="1"/>
  <c r="N131" i="1"/>
  <c r="N116" i="1"/>
  <c r="N118" i="1"/>
  <c r="N165" i="1"/>
  <c r="N133" i="1"/>
  <c r="N126" i="1"/>
  <c r="N151" i="1"/>
  <c r="N121" i="1"/>
  <c r="N122" i="1"/>
  <c r="N138" i="1"/>
  <c r="N161" i="1"/>
  <c r="N150" i="1"/>
  <c r="N130" i="1"/>
  <c r="N129" i="1"/>
  <c r="N127" i="1"/>
  <c r="N149" i="1"/>
  <c r="N124" i="1"/>
  <c r="N159" i="1"/>
  <c r="E100" i="7" l="1"/>
  <c r="D100" i="7"/>
  <c r="C100" i="7"/>
  <c r="B100" i="7"/>
  <c r="E99" i="7"/>
  <c r="D99" i="7"/>
  <c r="C99" i="7"/>
  <c r="B99" i="7"/>
  <c r="E98" i="7"/>
  <c r="D98" i="7"/>
  <c r="C98" i="7"/>
  <c r="B98" i="7"/>
  <c r="E97" i="7"/>
  <c r="D97" i="7"/>
  <c r="C97" i="7"/>
  <c r="B97" i="7"/>
  <c r="E96" i="7"/>
  <c r="D96" i="7"/>
  <c r="C96" i="7"/>
  <c r="B96" i="7"/>
  <c r="E95" i="7"/>
  <c r="D95" i="7"/>
  <c r="C95" i="7"/>
  <c r="B95" i="7"/>
  <c r="E94" i="7"/>
  <c r="D94" i="7"/>
  <c r="C94" i="7"/>
  <c r="B94" i="7"/>
  <c r="E93" i="7"/>
  <c r="D93" i="7"/>
  <c r="C93" i="7"/>
  <c r="B93" i="7"/>
  <c r="E92" i="7"/>
  <c r="D92" i="7"/>
  <c r="C92" i="7"/>
  <c r="B92" i="7"/>
  <c r="E91" i="7"/>
  <c r="D91" i="7"/>
  <c r="C91" i="7"/>
  <c r="B91" i="7"/>
  <c r="E90" i="7"/>
  <c r="D90" i="7"/>
  <c r="C90" i="7"/>
  <c r="B90" i="7"/>
  <c r="E89" i="7"/>
  <c r="D89" i="7"/>
  <c r="C89" i="7"/>
  <c r="B89" i="7"/>
  <c r="E88" i="7"/>
  <c r="D88" i="7"/>
  <c r="C88" i="7"/>
  <c r="B88" i="7"/>
  <c r="E87" i="7"/>
  <c r="D87" i="7"/>
  <c r="C87" i="7"/>
  <c r="B87" i="7"/>
  <c r="E86" i="7"/>
  <c r="D86" i="7"/>
  <c r="C86" i="7"/>
  <c r="B86" i="7"/>
  <c r="E85" i="7"/>
  <c r="D85" i="7"/>
  <c r="C85" i="7"/>
  <c r="B85" i="7"/>
  <c r="E84" i="7"/>
  <c r="D84" i="7"/>
  <c r="C84" i="7"/>
  <c r="B84" i="7"/>
  <c r="E83" i="7"/>
  <c r="D83" i="7"/>
  <c r="C83" i="7"/>
  <c r="B83" i="7"/>
  <c r="E82" i="7"/>
  <c r="D82" i="7"/>
  <c r="C82" i="7"/>
  <c r="B82" i="7"/>
  <c r="E81" i="7"/>
  <c r="D81" i="7"/>
  <c r="C81" i="7"/>
  <c r="B81" i="7"/>
  <c r="E80" i="7"/>
  <c r="D80" i="7"/>
  <c r="C80" i="7"/>
  <c r="B80" i="7"/>
  <c r="E79" i="7"/>
  <c r="D79" i="7"/>
  <c r="C79" i="7"/>
  <c r="B79" i="7"/>
  <c r="E78" i="7"/>
  <c r="D78" i="7"/>
  <c r="C78" i="7"/>
  <c r="B78" i="7"/>
  <c r="E77" i="7"/>
  <c r="D77" i="7"/>
  <c r="C77" i="7"/>
  <c r="B77" i="7"/>
  <c r="E76" i="7"/>
  <c r="D76" i="7"/>
  <c r="C76" i="7"/>
  <c r="B76" i="7"/>
  <c r="E75" i="7"/>
  <c r="D75" i="7"/>
  <c r="C75" i="7"/>
  <c r="B75" i="7"/>
  <c r="E74" i="7"/>
  <c r="D74" i="7"/>
  <c r="C74" i="7"/>
  <c r="B74" i="7"/>
  <c r="E73" i="7"/>
  <c r="D73" i="7"/>
  <c r="C73" i="7"/>
  <c r="B73" i="7"/>
  <c r="E72" i="7"/>
  <c r="D72" i="7"/>
  <c r="C72" i="7"/>
  <c r="B72" i="7"/>
  <c r="E71" i="7"/>
  <c r="D71" i="7"/>
  <c r="C71" i="7"/>
  <c r="B71" i="7"/>
  <c r="E70" i="7"/>
  <c r="D70" i="7"/>
  <c r="C70" i="7"/>
  <c r="B70" i="7"/>
  <c r="E69" i="7"/>
  <c r="D69" i="7"/>
  <c r="C69" i="7"/>
  <c r="B69" i="7"/>
  <c r="E68" i="7"/>
  <c r="D68" i="7"/>
  <c r="C68" i="7"/>
  <c r="B68" i="7"/>
  <c r="E67" i="7"/>
  <c r="D67" i="7"/>
  <c r="C67" i="7"/>
  <c r="B67" i="7"/>
  <c r="E66" i="7"/>
  <c r="D66" i="7"/>
  <c r="C66" i="7"/>
  <c r="B66" i="7"/>
  <c r="E65" i="7"/>
  <c r="D65" i="7"/>
  <c r="C65" i="7"/>
  <c r="B65" i="7"/>
  <c r="E64" i="7"/>
  <c r="D64" i="7"/>
  <c r="C64" i="7"/>
  <c r="B64" i="7"/>
  <c r="E63" i="7"/>
  <c r="D63" i="7"/>
  <c r="C63" i="7"/>
  <c r="B63" i="7"/>
  <c r="E62" i="7"/>
  <c r="D62" i="7"/>
  <c r="C62" i="7"/>
  <c r="B62" i="7"/>
  <c r="E61" i="7"/>
  <c r="D61" i="7"/>
  <c r="C61" i="7"/>
  <c r="B61" i="7"/>
  <c r="E60" i="7"/>
  <c r="D60" i="7"/>
  <c r="C60" i="7"/>
  <c r="B60" i="7"/>
  <c r="E59" i="7"/>
  <c r="D59" i="7"/>
  <c r="C59" i="7"/>
  <c r="B59" i="7"/>
  <c r="E58" i="7"/>
  <c r="D58" i="7"/>
  <c r="C58" i="7"/>
  <c r="B58" i="7"/>
  <c r="E57" i="7"/>
  <c r="D57" i="7"/>
  <c r="C57" i="7"/>
  <c r="B57" i="7"/>
  <c r="E56" i="7"/>
  <c r="D56" i="7"/>
  <c r="C56" i="7"/>
  <c r="B56" i="7"/>
  <c r="E55" i="7"/>
  <c r="D55" i="7"/>
  <c r="C55" i="7"/>
  <c r="B55" i="7"/>
  <c r="E54" i="7"/>
  <c r="D54" i="7"/>
  <c r="C54" i="7"/>
  <c r="B54" i="7"/>
  <c r="E53" i="7"/>
  <c r="D53" i="7"/>
  <c r="C53" i="7"/>
  <c r="B53" i="7"/>
  <c r="E52" i="7"/>
  <c r="D52" i="7"/>
  <c r="C52" i="7"/>
  <c r="B52" i="7"/>
  <c r="E51" i="7"/>
  <c r="D51" i="7"/>
  <c r="C51" i="7"/>
  <c r="B51" i="7"/>
  <c r="E50" i="7"/>
  <c r="D50" i="7"/>
  <c r="C50" i="7"/>
  <c r="B50" i="7"/>
  <c r="E49" i="7"/>
  <c r="D49" i="7"/>
  <c r="C49" i="7"/>
  <c r="B49" i="7"/>
  <c r="E48" i="7"/>
  <c r="D48" i="7"/>
  <c r="C48" i="7"/>
  <c r="B48" i="7"/>
  <c r="E47" i="7"/>
  <c r="D47" i="7"/>
  <c r="C47" i="7"/>
  <c r="B47" i="7"/>
  <c r="E46" i="7"/>
  <c r="D46" i="7"/>
  <c r="C46" i="7"/>
  <c r="B46" i="7"/>
  <c r="E45" i="7"/>
  <c r="D45" i="7"/>
  <c r="C45" i="7"/>
  <c r="B45" i="7"/>
  <c r="E44" i="7"/>
  <c r="D44" i="7"/>
  <c r="C44" i="7"/>
  <c r="B44" i="7"/>
  <c r="E43" i="7"/>
  <c r="D43" i="7"/>
  <c r="C43" i="7"/>
  <c r="B43" i="7"/>
  <c r="E42" i="7"/>
  <c r="D42" i="7"/>
  <c r="C42" i="7"/>
  <c r="B42" i="7"/>
  <c r="E41" i="7"/>
  <c r="D41" i="7"/>
  <c r="C41" i="7"/>
  <c r="B41" i="7"/>
  <c r="E40" i="7"/>
  <c r="D40" i="7"/>
  <c r="C40" i="7"/>
  <c r="B40" i="7"/>
  <c r="E39" i="7"/>
  <c r="D39" i="7"/>
  <c r="C39" i="7"/>
  <c r="B39" i="7"/>
  <c r="E38" i="7"/>
  <c r="D38" i="7"/>
  <c r="C38" i="7"/>
  <c r="B38" i="7"/>
  <c r="E37" i="7"/>
  <c r="D37" i="7"/>
  <c r="C37" i="7"/>
  <c r="B37" i="7"/>
  <c r="E36" i="7"/>
  <c r="D36" i="7"/>
  <c r="C36" i="7"/>
  <c r="B36" i="7"/>
  <c r="E35" i="7"/>
  <c r="D35" i="7"/>
  <c r="C35" i="7"/>
  <c r="B35" i="7"/>
  <c r="E34" i="7"/>
  <c r="D34" i="7"/>
  <c r="C34" i="7"/>
  <c r="B34" i="7"/>
  <c r="E33" i="7"/>
  <c r="D33" i="7"/>
  <c r="C33" i="7"/>
  <c r="B33" i="7"/>
  <c r="E32" i="7"/>
  <c r="D32" i="7"/>
  <c r="C32" i="7"/>
  <c r="B32" i="7"/>
  <c r="E31" i="7"/>
  <c r="D31" i="7"/>
  <c r="C31" i="7"/>
  <c r="B31" i="7"/>
  <c r="E30" i="7"/>
  <c r="D30" i="7"/>
  <c r="C30" i="7"/>
  <c r="B30" i="7"/>
  <c r="E29" i="7"/>
  <c r="D29" i="7"/>
  <c r="C29" i="7"/>
  <c r="B29" i="7"/>
  <c r="E28" i="7"/>
  <c r="D28" i="7"/>
  <c r="C28" i="7"/>
  <c r="B28" i="7"/>
  <c r="E27" i="7"/>
  <c r="D27" i="7"/>
  <c r="C27" i="7"/>
  <c r="B27" i="7"/>
  <c r="E26" i="7"/>
  <c r="D26" i="7"/>
  <c r="C26" i="7"/>
  <c r="B26" i="7"/>
  <c r="E25" i="7"/>
  <c r="D25" i="7"/>
  <c r="C25" i="7"/>
  <c r="B25" i="7"/>
  <c r="E24" i="7"/>
  <c r="D24" i="7"/>
  <c r="C24" i="7"/>
  <c r="B24" i="7"/>
  <c r="E23" i="7"/>
  <c r="D23" i="7"/>
  <c r="C23" i="7"/>
  <c r="B23" i="7"/>
  <c r="E22" i="7"/>
  <c r="D22" i="7"/>
  <c r="C22" i="7"/>
  <c r="B22" i="7"/>
  <c r="E21" i="7"/>
  <c r="D21" i="7"/>
  <c r="C21" i="7"/>
  <c r="B21" i="7"/>
  <c r="E20" i="7"/>
  <c r="D20" i="7"/>
  <c r="C20" i="7"/>
  <c r="B20" i="7"/>
  <c r="E19" i="7"/>
  <c r="D19" i="7"/>
  <c r="C19" i="7"/>
  <c r="B19" i="7"/>
  <c r="E18" i="7"/>
  <c r="D18" i="7"/>
  <c r="C18" i="7"/>
  <c r="B18" i="7"/>
  <c r="E17" i="7"/>
  <c r="D17" i="7"/>
  <c r="C17" i="7"/>
  <c r="B17" i="7"/>
  <c r="E16" i="7"/>
  <c r="D16" i="7"/>
  <c r="C16" i="7"/>
  <c r="B16" i="7"/>
  <c r="E15" i="7"/>
  <c r="D15" i="7"/>
  <c r="C15" i="7"/>
  <c r="B15" i="7"/>
  <c r="E14" i="7"/>
  <c r="D14" i="7"/>
  <c r="C14" i="7"/>
  <c r="B14" i="7"/>
  <c r="E13" i="7"/>
  <c r="D13" i="7"/>
  <c r="C13" i="7"/>
  <c r="B13" i="7"/>
  <c r="E12" i="7"/>
  <c r="D12" i="7"/>
  <c r="C12" i="7"/>
  <c r="B12" i="7"/>
  <c r="E11" i="7"/>
  <c r="D11" i="7"/>
  <c r="C11" i="7"/>
  <c r="B11" i="7"/>
  <c r="E10" i="7"/>
  <c r="D10" i="7"/>
  <c r="C10" i="7"/>
  <c r="B10" i="7"/>
  <c r="E9" i="7"/>
  <c r="D9" i="7"/>
  <c r="C9" i="7"/>
  <c r="B9" i="7"/>
  <c r="E8" i="7"/>
  <c r="D8" i="7"/>
  <c r="C8" i="7"/>
  <c r="B8" i="7"/>
  <c r="E7" i="7"/>
  <c r="D7" i="7"/>
  <c r="C7" i="7"/>
  <c r="B7" i="7"/>
  <c r="E6" i="7"/>
  <c r="D6" i="7"/>
  <c r="C6" i="7"/>
  <c r="B6" i="7"/>
  <c r="E5" i="7"/>
  <c r="D5" i="7"/>
  <c r="C5" i="7"/>
  <c r="B5" i="7"/>
  <c r="E4" i="7"/>
  <c r="D4" i="7"/>
  <c r="C4" i="7"/>
  <c r="B4" i="7"/>
  <c r="E3" i="7"/>
  <c r="D3" i="7"/>
  <c r="C3" i="7"/>
  <c r="B3" i="7"/>
  <c r="E2" i="7"/>
  <c r="D2" i="7"/>
  <c r="C2" i="7"/>
  <c r="B2" i="7"/>
  <c r="AP12" i="1"/>
  <c r="AQ12" i="1"/>
  <c r="Z12" i="1"/>
  <c r="AA12" i="1"/>
  <c r="AB12" i="1"/>
  <c r="AF165" i="1" l="1"/>
  <c r="AF163" i="1"/>
  <c r="AF159" i="1"/>
  <c r="AF155" i="1"/>
  <c r="AF151" i="1"/>
  <c r="AF147" i="1"/>
  <c r="AF143" i="1"/>
  <c r="AF139" i="1"/>
  <c r="AF135" i="1"/>
  <c r="AF131" i="1"/>
  <c r="AF127" i="1"/>
  <c r="AF123" i="1"/>
  <c r="AF119" i="1"/>
  <c r="AF161" i="1"/>
  <c r="AF153" i="1"/>
  <c r="AF145" i="1"/>
  <c r="AF137" i="1"/>
  <c r="AF133" i="1"/>
  <c r="AF121" i="1"/>
  <c r="AF158" i="1"/>
  <c r="AF154" i="1"/>
  <c r="AF134" i="1"/>
  <c r="AF122" i="1"/>
  <c r="AF164" i="1"/>
  <c r="AF160" i="1"/>
  <c r="AF156" i="1"/>
  <c r="AF152" i="1"/>
  <c r="AF148" i="1"/>
  <c r="AF144" i="1"/>
  <c r="AF140" i="1"/>
  <c r="AF136" i="1"/>
  <c r="AF132" i="1"/>
  <c r="AF128" i="1"/>
  <c r="AF124" i="1"/>
  <c r="AF120" i="1"/>
  <c r="AF157" i="1"/>
  <c r="AF149" i="1"/>
  <c r="AF141" i="1"/>
  <c r="AF129" i="1"/>
  <c r="AF125" i="1"/>
  <c r="AF117" i="1"/>
  <c r="AF162" i="1"/>
  <c r="AF150" i="1"/>
  <c r="AF146" i="1"/>
  <c r="AF142" i="1"/>
  <c r="AF138" i="1"/>
  <c r="AF130" i="1"/>
  <c r="AF126" i="1"/>
  <c r="AF118" i="1"/>
  <c r="AE165" i="1"/>
  <c r="AE162" i="1"/>
  <c r="AE158" i="1"/>
  <c r="AE154" i="1"/>
  <c r="AE150" i="1"/>
  <c r="AE146" i="1"/>
  <c r="AE142" i="1"/>
  <c r="AE138" i="1"/>
  <c r="AE134" i="1"/>
  <c r="AE130" i="1"/>
  <c r="AE126" i="1"/>
  <c r="AE122" i="1"/>
  <c r="AE118" i="1"/>
  <c r="AE156" i="1"/>
  <c r="AE148" i="1"/>
  <c r="AE140" i="1"/>
  <c r="AE124" i="1"/>
  <c r="AE149" i="1"/>
  <c r="AE137" i="1"/>
  <c r="AE125" i="1"/>
  <c r="AE117" i="1"/>
  <c r="AE163" i="1"/>
  <c r="AE159" i="1"/>
  <c r="AE155" i="1"/>
  <c r="AE151" i="1"/>
  <c r="AE147" i="1"/>
  <c r="AE143" i="1"/>
  <c r="AE139" i="1"/>
  <c r="AE135" i="1"/>
  <c r="AE131" i="1"/>
  <c r="AE127" i="1"/>
  <c r="AE123" i="1"/>
  <c r="AE119" i="1"/>
  <c r="AE164" i="1"/>
  <c r="AE160" i="1"/>
  <c r="AE152" i="1"/>
  <c r="AE144" i="1"/>
  <c r="AE136" i="1"/>
  <c r="AE132" i="1"/>
  <c r="AE128" i="1"/>
  <c r="AE120" i="1"/>
  <c r="AE161" i="1"/>
  <c r="AE157" i="1"/>
  <c r="AE153" i="1"/>
  <c r="AE145" i="1"/>
  <c r="AE141" i="1"/>
  <c r="AE133" i="1"/>
  <c r="AE129" i="1"/>
  <c r="AE121" i="1"/>
  <c r="AG165" i="1"/>
  <c r="AG164" i="1"/>
  <c r="AG160" i="1"/>
  <c r="AG156" i="1"/>
  <c r="AG152" i="1"/>
  <c r="AG148" i="1"/>
  <c r="AG144" i="1"/>
  <c r="AG140" i="1"/>
  <c r="AG136" i="1"/>
  <c r="AG132" i="1"/>
  <c r="AG128" i="1"/>
  <c r="AG124" i="1"/>
  <c r="AG120" i="1"/>
  <c r="AG162" i="1"/>
  <c r="AG158" i="1"/>
  <c r="AG150" i="1"/>
  <c r="AG142" i="1"/>
  <c r="AG134" i="1"/>
  <c r="AG130" i="1"/>
  <c r="AG126" i="1"/>
  <c r="AG118" i="1"/>
  <c r="AG163" i="1"/>
  <c r="AG159" i="1"/>
  <c r="AG151" i="1"/>
  <c r="AG147" i="1"/>
  <c r="AG143" i="1"/>
  <c r="AG139" i="1"/>
  <c r="AG131" i="1"/>
  <c r="AG127" i="1"/>
  <c r="AG119" i="1"/>
  <c r="AG161" i="1"/>
  <c r="AG157" i="1"/>
  <c r="AG153" i="1"/>
  <c r="AG149" i="1"/>
  <c r="AG145" i="1"/>
  <c r="AG141" i="1"/>
  <c r="AG137" i="1"/>
  <c r="AG133" i="1"/>
  <c r="AG129" i="1"/>
  <c r="AG125" i="1"/>
  <c r="AG121" i="1"/>
  <c r="AG117" i="1"/>
  <c r="AG154" i="1"/>
  <c r="AG146" i="1"/>
  <c r="AG138" i="1"/>
  <c r="AG122" i="1"/>
  <c r="AG155" i="1"/>
  <c r="AG135" i="1"/>
  <c r="AG123" i="1"/>
  <c r="AQ116" i="1" l="1"/>
  <c r="AU116" i="1" s="1"/>
  <c r="AP116" i="1"/>
  <c r="AT116" i="1" s="1"/>
  <c r="AQ133" i="1"/>
  <c r="AU133" i="1" s="1"/>
  <c r="AP133" i="1"/>
  <c r="AT133" i="1" s="1"/>
  <c r="AQ157" i="1"/>
  <c r="AU157" i="1" s="1"/>
  <c r="AP157" i="1"/>
  <c r="AT157" i="1" s="1"/>
  <c r="AQ132" i="1"/>
  <c r="AU132" i="1" s="1"/>
  <c r="AP132" i="1"/>
  <c r="AT132" i="1" s="1"/>
  <c r="AQ160" i="1"/>
  <c r="AU160" i="1" s="1"/>
  <c r="AP160" i="1"/>
  <c r="AT160" i="1" s="1"/>
  <c r="AQ127" i="1"/>
  <c r="AU127" i="1" s="1"/>
  <c r="AP127" i="1"/>
  <c r="AT127" i="1" s="1"/>
  <c r="AQ143" i="1"/>
  <c r="AU143" i="1" s="1"/>
  <c r="AP143" i="1"/>
  <c r="AT143" i="1" s="1"/>
  <c r="AQ159" i="1"/>
  <c r="AU159" i="1" s="1"/>
  <c r="AP159" i="1"/>
  <c r="AT159" i="1" s="1"/>
  <c r="AQ137" i="1"/>
  <c r="AU137" i="1" s="1"/>
  <c r="AP137" i="1"/>
  <c r="AT137" i="1" s="1"/>
  <c r="AQ148" i="1"/>
  <c r="AU148" i="1" s="1"/>
  <c r="AP148" i="1"/>
  <c r="AT148" i="1" s="1"/>
  <c r="AQ126" i="1"/>
  <c r="AU126" i="1" s="1"/>
  <c r="AP126" i="1"/>
  <c r="AT126" i="1" s="1"/>
  <c r="AQ142" i="1"/>
  <c r="AU142" i="1" s="1"/>
  <c r="AP142" i="1"/>
  <c r="AT142" i="1" s="1"/>
  <c r="AQ158" i="1"/>
  <c r="AU158" i="1" s="1"/>
  <c r="AP158" i="1"/>
  <c r="AT158" i="1" s="1"/>
  <c r="AQ141" i="1"/>
  <c r="AU141" i="1" s="1"/>
  <c r="AP141" i="1"/>
  <c r="AT141" i="1" s="1"/>
  <c r="AQ161" i="1"/>
  <c r="AU161" i="1" s="1"/>
  <c r="AP161" i="1"/>
  <c r="AT161" i="1" s="1"/>
  <c r="AQ136" i="1"/>
  <c r="AU136" i="1" s="1"/>
  <c r="AP136" i="1"/>
  <c r="AT136" i="1" s="1"/>
  <c r="AQ164" i="1"/>
  <c r="AU164" i="1" s="1"/>
  <c r="AP164" i="1"/>
  <c r="AT164" i="1" s="1"/>
  <c r="AP131" i="1"/>
  <c r="AT131" i="1" s="1"/>
  <c r="AQ131" i="1"/>
  <c r="AU131" i="1" s="1"/>
  <c r="AP147" i="1"/>
  <c r="AT147" i="1" s="1"/>
  <c r="AQ147" i="1"/>
  <c r="AU147" i="1" s="1"/>
  <c r="AQ163" i="1"/>
  <c r="AU163" i="1" s="1"/>
  <c r="AP163" i="1"/>
  <c r="AT163" i="1" s="1"/>
  <c r="AQ149" i="1"/>
  <c r="AU149" i="1" s="1"/>
  <c r="AP149" i="1"/>
  <c r="AT149" i="1" s="1"/>
  <c r="AQ156" i="1"/>
  <c r="AU156" i="1" s="1"/>
  <c r="AP156" i="1"/>
  <c r="AT156" i="1" s="1"/>
  <c r="AQ130" i="1"/>
  <c r="AU130" i="1" s="1"/>
  <c r="AP130" i="1"/>
  <c r="AT130" i="1" s="1"/>
  <c r="AQ146" i="1"/>
  <c r="AU146" i="1" s="1"/>
  <c r="AP146" i="1"/>
  <c r="AT146" i="1" s="1"/>
  <c r="AQ162" i="1"/>
  <c r="AU162" i="1" s="1"/>
  <c r="AP162" i="1"/>
  <c r="AT162" i="1" s="1"/>
  <c r="AQ121" i="1"/>
  <c r="AU121" i="1" s="1"/>
  <c r="AP121" i="1"/>
  <c r="AT121" i="1" s="1"/>
  <c r="AQ145" i="1"/>
  <c r="AU145" i="1" s="1"/>
  <c r="AP145" i="1"/>
  <c r="AT145" i="1" s="1"/>
  <c r="AQ120" i="1"/>
  <c r="AU120" i="1" s="1"/>
  <c r="AP120" i="1"/>
  <c r="AT120" i="1" s="1"/>
  <c r="AQ144" i="1"/>
  <c r="AU144" i="1" s="1"/>
  <c r="AP144" i="1"/>
  <c r="AT144" i="1" s="1"/>
  <c r="AQ119" i="1"/>
  <c r="AU119" i="1" s="1"/>
  <c r="AP119" i="1"/>
  <c r="AT119" i="1" s="1"/>
  <c r="AQ135" i="1"/>
  <c r="AU135" i="1" s="1"/>
  <c r="AP135" i="1"/>
  <c r="AT135" i="1" s="1"/>
  <c r="AP151" i="1"/>
  <c r="AT151" i="1" s="1"/>
  <c r="AQ151" i="1"/>
  <c r="AU151" i="1" s="1"/>
  <c r="AQ117" i="1"/>
  <c r="AU117" i="1" s="1"/>
  <c r="AP117" i="1"/>
  <c r="AT117" i="1" s="1"/>
  <c r="AQ124" i="1"/>
  <c r="AU124" i="1" s="1"/>
  <c r="AP124" i="1"/>
  <c r="AT124" i="1" s="1"/>
  <c r="AQ118" i="1"/>
  <c r="AU118" i="1" s="1"/>
  <c r="AP118" i="1"/>
  <c r="AT118" i="1" s="1"/>
  <c r="AQ134" i="1"/>
  <c r="AU134" i="1" s="1"/>
  <c r="AP134" i="1"/>
  <c r="AT134" i="1" s="1"/>
  <c r="AQ150" i="1"/>
  <c r="AU150" i="1" s="1"/>
  <c r="AP150" i="1"/>
  <c r="AT150" i="1" s="1"/>
  <c r="AP129" i="1"/>
  <c r="AT129" i="1" s="1"/>
  <c r="AQ129" i="1"/>
  <c r="AU129" i="1" s="1"/>
  <c r="AP153" i="1"/>
  <c r="AT153" i="1" s="1"/>
  <c r="AQ153" i="1"/>
  <c r="AU153" i="1" s="1"/>
  <c r="AQ128" i="1"/>
  <c r="AU128" i="1" s="1"/>
  <c r="AP128" i="1"/>
  <c r="AT128" i="1" s="1"/>
  <c r="AQ152" i="1"/>
  <c r="AU152" i="1" s="1"/>
  <c r="AP152" i="1"/>
  <c r="AT152" i="1" s="1"/>
  <c r="AP123" i="1"/>
  <c r="AT123" i="1" s="1"/>
  <c r="AQ123" i="1"/>
  <c r="AU123" i="1" s="1"/>
  <c r="AQ139" i="1"/>
  <c r="AU139" i="1" s="1"/>
  <c r="AP139" i="1"/>
  <c r="AT139" i="1" s="1"/>
  <c r="AQ155" i="1"/>
  <c r="AU155" i="1" s="1"/>
  <c r="AP155" i="1"/>
  <c r="AT155" i="1" s="1"/>
  <c r="AQ125" i="1"/>
  <c r="AU125" i="1" s="1"/>
  <c r="AP125" i="1"/>
  <c r="AT125" i="1" s="1"/>
  <c r="AQ140" i="1"/>
  <c r="AU140" i="1" s="1"/>
  <c r="AP140" i="1"/>
  <c r="AT140" i="1" s="1"/>
  <c r="AQ122" i="1"/>
  <c r="AU122" i="1" s="1"/>
  <c r="AP122" i="1"/>
  <c r="AT122" i="1" s="1"/>
  <c r="AQ138" i="1"/>
  <c r="AU138" i="1" s="1"/>
  <c r="AP138" i="1"/>
  <c r="AT138" i="1" s="1"/>
  <c r="AQ154" i="1"/>
  <c r="AU154" i="1" s="1"/>
  <c r="AP154" i="1"/>
  <c r="AT154" i="1" s="1"/>
  <c r="AQ165" i="1"/>
  <c r="AU165" i="1" s="1"/>
  <c r="AP165" i="1"/>
  <c r="AT165" i="1" s="1"/>
  <c r="K113" i="1"/>
  <c r="L113" i="1" s="1"/>
  <c r="K112" i="1"/>
  <c r="L112" i="1" s="1"/>
  <c r="K111" i="1"/>
  <c r="L111" i="1" s="1"/>
  <c r="K110" i="1"/>
  <c r="L110" i="1" s="1"/>
  <c r="K109" i="1"/>
  <c r="L109" i="1" s="1"/>
  <c r="K108" i="1"/>
  <c r="L108" i="1" s="1"/>
  <c r="K107" i="1"/>
  <c r="L107" i="1" s="1"/>
  <c r="K106" i="1"/>
  <c r="L106" i="1" s="1"/>
  <c r="K105" i="1"/>
  <c r="L105" i="1" s="1"/>
  <c r="K104" i="1"/>
  <c r="L104" i="1" s="1"/>
  <c r="K103" i="1"/>
  <c r="L103" i="1" s="1"/>
  <c r="K102" i="1"/>
  <c r="L102" i="1" s="1"/>
  <c r="K101" i="1"/>
  <c r="L101" i="1" s="1"/>
  <c r="K100" i="1"/>
  <c r="L100" i="1" s="1"/>
  <c r="K99" i="1"/>
  <c r="L99" i="1" s="1"/>
  <c r="K98" i="1"/>
  <c r="L98" i="1" s="1"/>
  <c r="K97" i="1"/>
  <c r="L97" i="1" s="1"/>
  <c r="K96" i="1"/>
  <c r="L96" i="1" s="1"/>
  <c r="K95" i="1"/>
  <c r="L95" i="1" s="1"/>
  <c r="K94" i="1"/>
  <c r="L94" i="1" s="1"/>
  <c r="K93" i="1"/>
  <c r="L93" i="1" s="1"/>
  <c r="K92" i="1"/>
  <c r="L92" i="1" s="1"/>
  <c r="K91" i="1"/>
  <c r="L91" i="1" s="1"/>
  <c r="K90" i="1"/>
  <c r="L90" i="1" s="1"/>
  <c r="K89" i="1"/>
  <c r="L89" i="1" s="1"/>
  <c r="K88" i="1"/>
  <c r="L88" i="1" s="1"/>
  <c r="K87" i="1"/>
  <c r="L87" i="1" s="1"/>
  <c r="K86" i="1"/>
  <c r="L86" i="1" s="1"/>
  <c r="K85" i="1"/>
  <c r="L85" i="1" s="1"/>
  <c r="K84" i="1"/>
  <c r="L84" i="1" s="1"/>
  <c r="K83" i="1"/>
  <c r="L83" i="1" s="1"/>
  <c r="K82" i="1"/>
  <c r="L82" i="1" s="1"/>
  <c r="K81" i="1"/>
  <c r="L81" i="1" s="1"/>
  <c r="K80" i="1"/>
  <c r="L80" i="1" s="1"/>
  <c r="K79" i="1"/>
  <c r="L79" i="1" s="1"/>
  <c r="K78" i="1"/>
  <c r="L78" i="1" s="1"/>
  <c r="K77" i="1"/>
  <c r="L77" i="1" s="1"/>
  <c r="K76" i="1"/>
  <c r="L76" i="1" s="1"/>
  <c r="K75" i="1"/>
  <c r="L75" i="1" s="1"/>
  <c r="K74" i="1"/>
  <c r="L74" i="1" s="1"/>
  <c r="K73" i="1"/>
  <c r="L73" i="1" s="1"/>
  <c r="K72" i="1"/>
  <c r="L72" i="1" s="1"/>
  <c r="K71" i="1"/>
  <c r="L71" i="1" s="1"/>
  <c r="K70" i="1"/>
  <c r="L70" i="1" s="1"/>
  <c r="K69" i="1"/>
  <c r="L69" i="1" s="1"/>
  <c r="K68" i="1"/>
  <c r="L68" i="1" s="1"/>
  <c r="K67" i="1"/>
  <c r="L67" i="1" s="1"/>
  <c r="K66" i="1"/>
  <c r="L66" i="1" s="1"/>
  <c r="K65" i="1"/>
  <c r="L65" i="1" s="1"/>
  <c r="K64" i="1"/>
  <c r="L64" i="1" s="1"/>
  <c r="K63" i="1"/>
  <c r="L63" i="1" s="1"/>
  <c r="K62" i="1"/>
  <c r="L62" i="1" s="1"/>
  <c r="K61" i="1"/>
  <c r="L61" i="1" s="1"/>
  <c r="K60" i="1"/>
  <c r="L60" i="1" s="1"/>
  <c r="K59" i="1"/>
  <c r="L59" i="1" s="1"/>
  <c r="K58" i="1"/>
  <c r="L58" i="1" s="1"/>
  <c r="K57" i="1"/>
  <c r="L57" i="1" s="1"/>
  <c r="K56" i="1"/>
  <c r="L56" i="1" s="1"/>
  <c r="K55" i="1"/>
  <c r="L55" i="1" s="1"/>
  <c r="K54" i="1"/>
  <c r="L54" i="1" s="1"/>
  <c r="K53" i="1"/>
  <c r="L53" i="1" s="1"/>
  <c r="K52" i="1"/>
  <c r="L52" i="1" s="1"/>
  <c r="K51" i="1"/>
  <c r="L51" i="1" s="1"/>
  <c r="K50" i="1"/>
  <c r="L50" i="1" s="1"/>
  <c r="K49" i="1"/>
  <c r="L49" i="1" s="1"/>
  <c r="K48" i="1"/>
  <c r="L48" i="1" s="1"/>
  <c r="K47" i="1"/>
  <c r="L47" i="1" s="1"/>
  <c r="K46" i="1"/>
  <c r="L46" i="1" s="1"/>
  <c r="K45" i="1"/>
  <c r="L45" i="1" s="1"/>
  <c r="K44" i="1"/>
  <c r="L44" i="1" s="1"/>
  <c r="K43" i="1"/>
  <c r="L43" i="1" s="1"/>
  <c r="K42" i="1"/>
  <c r="L42" i="1" s="1"/>
  <c r="K41" i="1"/>
  <c r="L41" i="1" s="1"/>
  <c r="K40" i="1"/>
  <c r="L40" i="1" s="1"/>
  <c r="K39" i="1"/>
  <c r="L39" i="1" s="1"/>
  <c r="K38" i="1"/>
  <c r="L38" i="1" s="1"/>
  <c r="K37" i="1"/>
  <c r="L37" i="1" s="1"/>
  <c r="K36" i="1"/>
  <c r="L36" i="1" s="1"/>
  <c r="K35" i="1"/>
  <c r="L35" i="1" s="1"/>
  <c r="K34" i="1"/>
  <c r="L34" i="1" s="1"/>
  <c r="K33" i="1"/>
  <c r="L33" i="1" s="1"/>
  <c r="K32" i="1"/>
  <c r="L32" i="1" s="1"/>
  <c r="K31" i="1"/>
  <c r="L31" i="1" s="1"/>
  <c r="K30" i="1"/>
  <c r="L30" i="1" s="1"/>
  <c r="K29" i="1"/>
  <c r="L29" i="1" s="1"/>
  <c r="K28" i="1"/>
  <c r="L28" i="1" s="1"/>
  <c r="K27" i="1"/>
  <c r="L27" i="1" s="1"/>
  <c r="K26" i="1"/>
  <c r="L26" i="1" s="1"/>
  <c r="K25" i="1"/>
  <c r="L25" i="1" s="1"/>
  <c r="K24" i="1"/>
  <c r="L24" i="1" s="1"/>
  <c r="K23" i="1"/>
  <c r="L23" i="1" s="1"/>
  <c r="K22" i="1"/>
  <c r="L22" i="1" s="1"/>
  <c r="K21" i="1"/>
  <c r="L21" i="1" s="1"/>
  <c r="K20" i="1"/>
  <c r="L20" i="1" s="1"/>
  <c r="K19" i="1"/>
  <c r="L19" i="1" s="1"/>
  <c r="K18" i="1"/>
  <c r="L18" i="1" s="1"/>
  <c r="K17" i="1"/>
  <c r="L17" i="1" s="1"/>
  <c r="K16" i="1"/>
  <c r="L16" i="1" s="1"/>
  <c r="K15" i="1"/>
  <c r="L15" i="1" s="1"/>
  <c r="K14" i="1"/>
  <c r="L14" i="1" s="1"/>
  <c r="J14" i="1"/>
  <c r="P14" i="1"/>
  <c r="S14" i="1"/>
  <c r="BB165" i="1" l="1"/>
  <c r="BB138" i="1"/>
  <c r="BB140" i="1"/>
  <c r="BB155" i="1"/>
  <c r="BB128" i="1"/>
  <c r="BB134" i="1"/>
  <c r="BB124" i="1"/>
  <c r="BB119" i="1"/>
  <c r="BB120" i="1"/>
  <c r="BB121" i="1"/>
  <c r="BB146" i="1"/>
  <c r="BB156" i="1"/>
  <c r="BB163" i="1"/>
  <c r="BB136" i="1"/>
  <c r="BB141" i="1"/>
  <c r="BB142" i="1"/>
  <c r="BB148" i="1"/>
  <c r="BB159" i="1"/>
  <c r="BB127" i="1"/>
  <c r="BB132" i="1"/>
  <c r="BB133" i="1"/>
  <c r="BB154" i="1"/>
  <c r="BB122" i="1"/>
  <c r="BB125" i="1"/>
  <c r="BB139" i="1"/>
  <c r="BD139" i="1" s="1"/>
  <c r="BB152" i="1"/>
  <c r="BB150" i="1"/>
  <c r="BB118" i="1"/>
  <c r="BB117" i="1"/>
  <c r="BD117" i="1" s="1"/>
  <c r="BB135" i="1"/>
  <c r="BB144" i="1"/>
  <c r="BB145" i="1"/>
  <c r="BB162" i="1"/>
  <c r="BD162" i="1" s="1"/>
  <c r="BB130" i="1"/>
  <c r="BB149" i="1"/>
  <c r="BB164" i="1"/>
  <c r="BB161" i="1"/>
  <c r="BD161" i="1" s="1"/>
  <c r="BB158" i="1"/>
  <c r="BB126" i="1"/>
  <c r="BB137" i="1"/>
  <c r="BB143" i="1"/>
  <c r="BD143" i="1" s="1"/>
  <c r="BB160" i="1"/>
  <c r="BB123" i="1"/>
  <c r="BB129" i="1"/>
  <c r="BB151" i="1"/>
  <c r="BD151" i="1" s="1"/>
  <c r="BB131" i="1"/>
  <c r="BD131" i="1" s="1"/>
  <c r="BB157" i="1"/>
  <c r="BB153" i="1"/>
  <c r="BB147" i="1"/>
  <c r="BB116" i="1"/>
  <c r="BD116" i="1" s="1"/>
  <c r="J113" i="1"/>
  <c r="J109" i="1"/>
  <c r="J97" i="1"/>
  <c r="J89" i="1"/>
  <c r="J73" i="1"/>
  <c r="J61" i="1"/>
  <c r="J49" i="1"/>
  <c r="J37" i="1"/>
  <c r="J29" i="1"/>
  <c r="J25" i="1"/>
  <c r="J100" i="1"/>
  <c r="J101" i="1"/>
  <c r="J85" i="1"/>
  <c r="J77" i="1"/>
  <c r="J65" i="1"/>
  <c r="J53" i="1"/>
  <c r="J41" i="1"/>
  <c r="J33" i="1"/>
  <c r="J21" i="1"/>
  <c r="J112" i="1"/>
  <c r="J104" i="1"/>
  <c r="J92" i="1"/>
  <c r="J84" i="1"/>
  <c r="J76" i="1"/>
  <c r="J68" i="1"/>
  <c r="J60" i="1"/>
  <c r="J52" i="1"/>
  <c r="J44" i="1"/>
  <c r="J36" i="1"/>
  <c r="J28" i="1"/>
  <c r="J24" i="1"/>
  <c r="J16" i="1"/>
  <c r="J105" i="1"/>
  <c r="J93" i="1"/>
  <c r="J81" i="1"/>
  <c r="J69" i="1"/>
  <c r="J57" i="1"/>
  <c r="J45" i="1"/>
  <c r="J17" i="1"/>
  <c r="J108" i="1"/>
  <c r="J96" i="1"/>
  <c r="J88" i="1"/>
  <c r="J80" i="1"/>
  <c r="J72" i="1"/>
  <c r="J64" i="1"/>
  <c r="J56" i="1"/>
  <c r="J48" i="1"/>
  <c r="J40" i="1"/>
  <c r="J32" i="1"/>
  <c r="J20" i="1"/>
  <c r="J110" i="1"/>
  <c r="J106" i="1"/>
  <c r="J102" i="1"/>
  <c r="J98" i="1"/>
  <c r="J94" i="1"/>
  <c r="J90" i="1"/>
  <c r="J86" i="1"/>
  <c r="J82" i="1"/>
  <c r="J78" i="1"/>
  <c r="J74" i="1"/>
  <c r="J70" i="1"/>
  <c r="J66" i="1"/>
  <c r="J62" i="1"/>
  <c r="J58" i="1"/>
  <c r="J54" i="1"/>
  <c r="J50" i="1"/>
  <c r="J46" i="1"/>
  <c r="J42" i="1"/>
  <c r="J38" i="1"/>
  <c r="J34" i="1"/>
  <c r="J30" i="1"/>
  <c r="J26" i="1"/>
  <c r="J22" i="1"/>
  <c r="J18" i="1"/>
  <c r="J15" i="1"/>
  <c r="J27" i="1"/>
  <c r="J39" i="1"/>
  <c r="J51" i="1"/>
  <c r="J63" i="1"/>
  <c r="J83" i="1"/>
  <c r="J87" i="1"/>
  <c r="J99" i="1"/>
  <c r="J111" i="1"/>
  <c r="J19" i="1"/>
  <c r="J35" i="1"/>
  <c r="J47" i="1"/>
  <c r="J55" i="1"/>
  <c r="J67" i="1"/>
  <c r="J79" i="1"/>
  <c r="J95" i="1"/>
  <c r="J103" i="1"/>
  <c r="J23" i="1"/>
  <c r="J31" i="1"/>
  <c r="J43" i="1"/>
  <c r="J59" i="1"/>
  <c r="J71" i="1"/>
  <c r="J75" i="1"/>
  <c r="J91" i="1"/>
  <c r="J107" i="1"/>
  <c r="N83" i="1"/>
  <c r="N44" i="1"/>
  <c r="N43" i="1"/>
  <c r="N84" i="1"/>
  <c r="N52" i="1"/>
  <c r="N22" i="1"/>
  <c r="N104" i="1"/>
  <c r="N93" i="1"/>
  <c r="N65" i="1"/>
  <c r="N64" i="1"/>
  <c r="N89" i="1"/>
  <c r="N87" i="1"/>
  <c r="N67" i="1"/>
  <c r="N45" i="1"/>
  <c r="N91" i="1"/>
  <c r="N15" i="1"/>
  <c r="N107" i="1"/>
  <c r="N26" i="1"/>
  <c r="N101" i="1"/>
  <c r="N38" i="1"/>
  <c r="N81" i="1"/>
  <c r="N37" i="1"/>
  <c r="N32" i="1"/>
  <c r="N58" i="1"/>
  <c r="N98" i="1"/>
  <c r="N95" i="1"/>
  <c r="N28" i="1"/>
  <c r="N23" i="1"/>
  <c r="N54" i="1"/>
  <c r="N94" i="1"/>
  <c r="N106" i="1"/>
  <c r="N59" i="1"/>
  <c r="N110" i="1"/>
  <c r="N72" i="1"/>
  <c r="N61" i="1"/>
  <c r="N76" i="1"/>
  <c r="N70" i="1"/>
  <c r="N90" i="1"/>
  <c r="N51" i="1"/>
  <c r="N34" i="1"/>
  <c r="N35" i="1"/>
  <c r="N17" i="1"/>
  <c r="N69" i="1"/>
  <c r="N21" i="1"/>
  <c r="N66" i="1"/>
  <c r="N20" i="1"/>
  <c r="N75" i="1"/>
  <c r="N74" i="1"/>
  <c r="N88" i="1"/>
  <c r="N29" i="1"/>
  <c r="N55" i="1"/>
  <c r="N41" i="1"/>
  <c r="N19" i="1"/>
  <c r="N77" i="1"/>
  <c r="N39" i="1"/>
  <c r="N56" i="1"/>
  <c r="N16" i="1"/>
  <c r="N25" i="1"/>
  <c r="N108" i="1"/>
  <c r="N86" i="1"/>
  <c r="N18" i="1"/>
  <c r="N36" i="1"/>
  <c r="N27" i="1"/>
  <c r="N49" i="1"/>
  <c r="N42" i="1"/>
  <c r="N96" i="1"/>
  <c r="N53" i="1"/>
  <c r="N79" i="1"/>
  <c r="N50" i="1"/>
  <c r="N57" i="1"/>
  <c r="N99" i="1"/>
  <c r="N24" i="1"/>
  <c r="N30" i="1"/>
  <c r="N102" i="1"/>
  <c r="N113" i="1"/>
  <c r="N80" i="1"/>
  <c r="N31" i="1"/>
  <c r="N105" i="1"/>
  <c r="N82" i="1"/>
  <c r="N109" i="1"/>
  <c r="N40" i="1"/>
  <c r="N62" i="1"/>
  <c r="N78" i="1"/>
  <c r="N85" i="1"/>
  <c r="N33" i="1"/>
  <c r="N92" i="1"/>
  <c r="N73" i="1"/>
  <c r="N48" i="1"/>
  <c r="N68" i="1"/>
  <c r="N63" i="1"/>
  <c r="N97" i="1"/>
  <c r="N71" i="1"/>
  <c r="N103" i="1"/>
  <c r="N47" i="1"/>
  <c r="N46" i="1"/>
  <c r="N60" i="1"/>
  <c r="N112" i="1"/>
  <c r="N111" i="1"/>
  <c r="N100" i="1"/>
  <c r="BF109" i="1" l="1"/>
  <c r="BF91" i="1"/>
  <c r="BF95" i="1"/>
  <c r="BF99" i="1"/>
  <c r="BF18" i="1"/>
  <c r="BF50" i="1"/>
  <c r="BF82" i="1"/>
  <c r="BF20" i="1"/>
  <c r="BF88" i="1"/>
  <c r="BF93" i="1"/>
  <c r="BF60" i="1"/>
  <c r="BF25" i="1"/>
  <c r="BF113" i="1"/>
  <c r="BF35" i="1"/>
  <c r="BF38" i="1"/>
  <c r="BF89" i="1"/>
  <c r="BF43" i="1"/>
  <c r="BF47" i="1"/>
  <c r="BF51" i="1"/>
  <c r="BF34" i="1"/>
  <c r="BF66" i="1"/>
  <c r="BF98" i="1"/>
  <c r="BF56" i="1"/>
  <c r="BF45" i="1"/>
  <c r="BF28" i="1"/>
  <c r="BF92" i="1"/>
  <c r="BF33" i="1"/>
  <c r="BF77" i="1"/>
  <c r="BF61" i="1"/>
  <c r="BF75" i="1"/>
  <c r="BF31" i="1"/>
  <c r="BF79" i="1"/>
  <c r="BF87" i="1"/>
  <c r="BF39" i="1"/>
  <c r="BF22" i="1"/>
  <c r="BF54" i="1"/>
  <c r="BF70" i="1"/>
  <c r="BF86" i="1"/>
  <c r="BF102" i="1"/>
  <c r="BF32" i="1"/>
  <c r="BF64" i="1"/>
  <c r="BF96" i="1"/>
  <c r="BF57" i="1"/>
  <c r="BF105" i="1"/>
  <c r="BF36" i="1"/>
  <c r="BF68" i="1"/>
  <c r="BF104" i="1"/>
  <c r="BF41" i="1"/>
  <c r="BF85" i="1"/>
  <c r="BF29" i="1"/>
  <c r="BF73" i="1"/>
  <c r="BF71" i="1"/>
  <c r="BF23" i="1"/>
  <c r="BF67" i="1"/>
  <c r="BF19" i="1"/>
  <c r="BF83" i="1"/>
  <c r="BF27" i="1"/>
  <c r="BF26" i="1"/>
  <c r="BF42" i="1"/>
  <c r="BF58" i="1"/>
  <c r="BF74" i="1"/>
  <c r="BF90" i="1"/>
  <c r="BF106" i="1"/>
  <c r="BF40" i="1"/>
  <c r="BF72" i="1"/>
  <c r="BF108" i="1"/>
  <c r="BF69" i="1"/>
  <c r="BF16" i="1"/>
  <c r="BF44" i="1"/>
  <c r="BF76" i="1"/>
  <c r="BF112" i="1"/>
  <c r="BF53" i="1"/>
  <c r="BF101" i="1"/>
  <c r="BF37" i="1"/>
  <c r="BF107" i="1"/>
  <c r="BF59" i="1"/>
  <c r="BF103" i="1"/>
  <c r="BF55" i="1"/>
  <c r="BF111" i="1"/>
  <c r="BF63" i="1"/>
  <c r="BF15" i="1"/>
  <c r="BF30" i="1"/>
  <c r="BF46" i="1"/>
  <c r="BF62" i="1"/>
  <c r="BF78" i="1"/>
  <c r="BF94" i="1"/>
  <c r="BF110" i="1"/>
  <c r="BF48" i="1"/>
  <c r="BF80" i="1"/>
  <c r="BF17" i="1"/>
  <c r="BF81" i="1"/>
  <c r="BF24" i="1"/>
  <c r="BF52" i="1"/>
  <c r="BF84" i="1"/>
  <c r="BF21" i="1"/>
  <c r="BF65" i="1"/>
  <c r="BF100" i="1"/>
  <c r="BF49" i="1"/>
  <c r="BF97" i="1"/>
  <c r="BD129" i="1"/>
  <c r="BG129" i="1" s="1"/>
  <c r="BD145" i="1"/>
  <c r="BG145" i="1" s="1"/>
  <c r="BD132" i="1"/>
  <c r="BG132" i="1" s="1"/>
  <c r="BD119" i="1"/>
  <c r="BG119" i="1" s="1"/>
  <c r="BD157" i="1"/>
  <c r="BG157" i="1" s="1"/>
  <c r="BD126" i="1"/>
  <c r="BG126" i="1" s="1"/>
  <c r="BD149" i="1"/>
  <c r="BG149" i="1" s="1"/>
  <c r="BD144" i="1"/>
  <c r="BG144" i="1" s="1"/>
  <c r="BD150" i="1"/>
  <c r="BG150" i="1" s="1"/>
  <c r="BD122" i="1"/>
  <c r="BG122" i="1" s="1"/>
  <c r="BD127" i="1"/>
  <c r="BG127" i="1" s="1"/>
  <c r="BD141" i="1"/>
  <c r="BG141" i="1" s="1"/>
  <c r="BD146" i="1"/>
  <c r="BG146" i="1" s="1"/>
  <c r="BD124" i="1"/>
  <c r="BG124" i="1" s="1"/>
  <c r="BD140" i="1"/>
  <c r="BG140" i="1" s="1"/>
  <c r="BD137" i="1"/>
  <c r="BG137" i="1" s="1"/>
  <c r="BD118" i="1"/>
  <c r="BG118" i="1" s="1"/>
  <c r="BD142" i="1"/>
  <c r="BG142" i="1" s="1"/>
  <c r="BD156" i="1"/>
  <c r="BG156" i="1" s="1"/>
  <c r="BD160" i="1"/>
  <c r="BG160" i="1" s="1"/>
  <c r="BD158" i="1"/>
  <c r="BG158" i="1" s="1"/>
  <c r="BD130" i="1"/>
  <c r="BG130" i="1" s="1"/>
  <c r="BD135" i="1"/>
  <c r="BG135" i="1" s="1"/>
  <c r="BD152" i="1"/>
  <c r="BG152" i="1" s="1"/>
  <c r="BD154" i="1"/>
  <c r="BG154" i="1" s="1"/>
  <c r="BD159" i="1"/>
  <c r="BG159" i="1" s="1"/>
  <c r="BD136" i="1"/>
  <c r="BG136" i="1" s="1"/>
  <c r="BD121" i="1"/>
  <c r="BG121" i="1" s="1"/>
  <c r="BD134" i="1"/>
  <c r="BG134" i="1" s="1"/>
  <c r="BD138" i="1"/>
  <c r="BG138" i="1" s="1"/>
  <c r="BD153" i="1"/>
  <c r="BG153" i="1" s="1"/>
  <c r="BD164" i="1"/>
  <c r="BG164" i="1" s="1"/>
  <c r="BD125" i="1"/>
  <c r="BG125" i="1" s="1"/>
  <c r="BD155" i="1"/>
  <c r="BG155" i="1" s="1"/>
  <c r="BD123" i="1"/>
  <c r="BG123" i="1" s="1"/>
  <c r="BD147" i="1"/>
  <c r="BG147" i="1" s="1"/>
  <c r="BD133" i="1"/>
  <c r="BG133" i="1" s="1"/>
  <c r="BD148" i="1"/>
  <c r="BG148" i="1" s="1"/>
  <c r="BD163" i="1"/>
  <c r="BG163" i="1" s="1"/>
  <c r="BD120" i="1"/>
  <c r="BG120" i="1" s="1"/>
  <c r="BD128" i="1"/>
  <c r="BG128" i="1" s="1"/>
  <c r="BD165" i="1"/>
  <c r="BG165" i="1" s="1"/>
  <c r="BG151" i="1"/>
  <c r="BG143" i="1"/>
  <c r="BG161" i="1"/>
  <c r="BG162" i="1"/>
  <c r="BG117" i="1"/>
  <c r="BG139" i="1"/>
  <c r="BG131" i="1"/>
  <c r="BG116" i="1"/>
  <c r="S77" i="1"/>
  <c r="S55" i="1"/>
  <c r="S88" i="1"/>
  <c r="S49" i="1"/>
  <c r="Q37" i="1"/>
  <c r="Q40" i="1"/>
  <c r="P59" i="1"/>
  <c r="P78" i="1"/>
  <c r="Q84" i="1"/>
  <c r="P103" i="1"/>
  <c r="P20" i="1"/>
  <c r="R101" i="1"/>
  <c r="Q91" i="1"/>
  <c r="R35" i="1"/>
  <c r="Q85" i="1"/>
  <c r="Q18" i="1"/>
  <c r="Q22" i="1"/>
  <c r="R40" i="1"/>
  <c r="R82" i="1"/>
  <c r="S101" i="1"/>
  <c r="Q89" i="1"/>
  <c r="R36" i="1"/>
  <c r="P38" i="1"/>
  <c r="Q56" i="1"/>
  <c r="R20" i="1"/>
  <c r="R73" i="1"/>
  <c r="S72" i="1"/>
  <c r="S82" i="1"/>
  <c r="R48" i="1"/>
  <c r="P111" i="1"/>
  <c r="Q15" i="1"/>
  <c r="S70" i="1"/>
  <c r="S43" i="1"/>
  <c r="S47" i="1"/>
  <c r="S67" i="1"/>
  <c r="R38" i="1"/>
  <c r="Q30" i="1"/>
  <c r="P90" i="1"/>
  <c r="Q34" i="1"/>
  <c r="Q60" i="1"/>
  <c r="P66" i="1"/>
  <c r="P83" i="1"/>
  <c r="R83" i="1"/>
  <c r="S53" i="1"/>
  <c r="P52" i="1"/>
  <c r="P75" i="1"/>
  <c r="P56" i="1"/>
  <c r="S17" i="1"/>
  <c r="P85" i="1"/>
  <c r="R78" i="1"/>
  <c r="Q102" i="1"/>
  <c r="S25" i="1"/>
  <c r="P72" i="1"/>
  <c r="P54" i="1"/>
  <c r="R39" i="1"/>
  <c r="Q61" i="1"/>
  <c r="R31" i="1"/>
  <c r="R59" i="1"/>
  <c r="S103" i="1"/>
  <c r="S93" i="1"/>
  <c r="Q55" i="1"/>
  <c r="P39" i="1"/>
  <c r="S91" i="1"/>
  <c r="S51" i="1"/>
  <c r="P18" i="1"/>
  <c r="P70" i="1"/>
  <c r="Q50" i="1"/>
  <c r="Q64" i="1"/>
  <c r="P36" i="1"/>
  <c r="R81" i="1"/>
  <c r="Q65" i="1"/>
  <c r="R75" i="1"/>
  <c r="P79" i="1"/>
  <c r="P104" i="1"/>
  <c r="Q103" i="1"/>
  <c r="P21" i="1"/>
  <c r="S84" i="1"/>
  <c r="Q38" i="1"/>
  <c r="R28" i="1"/>
  <c r="R30" i="1"/>
  <c r="R15" i="1"/>
  <c r="P74" i="1"/>
  <c r="R14" i="1"/>
  <c r="Q43" i="1"/>
  <c r="P112" i="1"/>
  <c r="R16" i="1"/>
  <c r="P41" i="1"/>
  <c r="R56" i="1"/>
  <c r="P100" i="1"/>
  <c r="P32" i="1"/>
  <c r="S39" i="1"/>
  <c r="Q101" i="1"/>
  <c r="Q49" i="1"/>
  <c r="P94" i="1"/>
  <c r="R37" i="1"/>
  <c r="P64" i="1"/>
  <c r="P87" i="1"/>
  <c r="P53" i="1"/>
  <c r="Q36" i="1"/>
  <c r="R103" i="1"/>
  <c r="P97" i="1"/>
  <c r="Q107" i="1"/>
  <c r="S98" i="1"/>
  <c r="R23" i="1"/>
  <c r="R53" i="1"/>
  <c r="Q48" i="1"/>
  <c r="P37" i="1"/>
  <c r="Q80" i="1"/>
  <c r="S99" i="1"/>
  <c r="Q78" i="1"/>
  <c r="R41" i="1"/>
  <c r="R111" i="1"/>
  <c r="S15" i="1"/>
  <c r="P96" i="1"/>
  <c r="S62" i="1"/>
  <c r="S38" i="1"/>
  <c r="R34" i="1"/>
  <c r="S92" i="1"/>
  <c r="Q14" i="1"/>
  <c r="Q92" i="1"/>
  <c r="S54" i="1"/>
  <c r="S45" i="1"/>
  <c r="P45" i="1"/>
  <c r="P61" i="1"/>
  <c r="R84" i="1"/>
  <c r="R98" i="1"/>
  <c r="S94" i="1"/>
  <c r="P65" i="1"/>
  <c r="P68" i="1"/>
  <c r="Q82" i="1"/>
  <c r="P49" i="1"/>
  <c r="P91" i="1"/>
  <c r="S81" i="1"/>
  <c r="Q87" i="1"/>
  <c r="P16" i="1"/>
  <c r="S59" i="1"/>
  <c r="Q71" i="1"/>
  <c r="P92" i="1"/>
  <c r="S34" i="1"/>
  <c r="Q72" i="1"/>
  <c r="S31" i="1"/>
  <c r="P35" i="1"/>
  <c r="R63" i="1"/>
  <c r="P58" i="1"/>
  <c r="R42" i="1"/>
  <c r="Q19" i="1"/>
  <c r="P82" i="1"/>
  <c r="R92" i="1"/>
  <c r="S46" i="1"/>
  <c r="P81" i="1"/>
  <c r="Q104" i="1"/>
  <c r="R60" i="1"/>
  <c r="R86" i="1"/>
  <c r="Q51" i="1"/>
  <c r="S56" i="1"/>
  <c r="R22" i="1"/>
  <c r="Q63" i="1"/>
  <c r="S65" i="1"/>
  <c r="Q23" i="1"/>
  <c r="R72" i="1"/>
  <c r="P86" i="1"/>
  <c r="P76" i="1"/>
  <c r="P108" i="1"/>
  <c r="R65" i="1"/>
  <c r="S27" i="1"/>
  <c r="S105" i="1"/>
  <c r="P71" i="1"/>
  <c r="R90" i="1"/>
  <c r="Q52" i="1"/>
  <c r="R51" i="1"/>
  <c r="S87" i="1"/>
  <c r="R49" i="1"/>
  <c r="S60" i="1"/>
  <c r="Q69" i="1"/>
  <c r="Q17" i="1"/>
  <c r="Q46" i="1"/>
  <c r="S20" i="1"/>
  <c r="Q70" i="1"/>
  <c r="Q16" i="1"/>
  <c r="S66" i="1"/>
  <c r="S41" i="1"/>
  <c r="S57" i="1"/>
  <c r="Q44" i="1"/>
  <c r="S69" i="1"/>
  <c r="S42" i="1"/>
  <c r="S86" i="1"/>
  <c r="R76" i="1"/>
  <c r="S112" i="1"/>
  <c r="R19" i="1"/>
  <c r="P48" i="1"/>
  <c r="P77" i="1"/>
  <c r="P101" i="1"/>
  <c r="P17" i="1"/>
  <c r="R96" i="1"/>
  <c r="Q41" i="1"/>
  <c r="P62" i="1"/>
  <c r="P47" i="1"/>
  <c r="S22" i="1"/>
  <c r="S100" i="1"/>
  <c r="S48" i="1"/>
  <c r="S106" i="1"/>
  <c r="R61" i="1"/>
  <c r="R88" i="1"/>
  <c r="Q76" i="1"/>
  <c r="S64" i="1"/>
  <c r="R80" i="1"/>
  <c r="P106" i="1"/>
  <c r="P40" i="1"/>
  <c r="S33" i="1"/>
  <c r="R99" i="1"/>
  <c r="Q59" i="1"/>
  <c r="S97" i="1"/>
  <c r="P24" i="1"/>
  <c r="Q62" i="1"/>
  <c r="S85" i="1"/>
  <c r="P88" i="1"/>
  <c r="S18" i="1"/>
  <c r="Q31" i="1"/>
  <c r="P69" i="1"/>
  <c r="Q73" i="1"/>
  <c r="R77" i="1"/>
  <c r="R45" i="1"/>
  <c r="S104" i="1"/>
  <c r="S113" i="1"/>
  <c r="R97" i="1"/>
  <c r="Q111" i="1"/>
  <c r="R95" i="1"/>
  <c r="R69" i="1"/>
  <c r="S111" i="1"/>
  <c r="S89" i="1"/>
  <c r="Q27" i="1"/>
  <c r="P42" i="1"/>
  <c r="P102" i="1"/>
  <c r="P55" i="1"/>
  <c r="Q77" i="1"/>
  <c r="Q95" i="1"/>
  <c r="P98" i="1"/>
  <c r="S44" i="1"/>
  <c r="Q74" i="1"/>
  <c r="P109" i="1"/>
  <c r="R46" i="1"/>
  <c r="P73" i="1"/>
  <c r="S36" i="1"/>
  <c r="S96" i="1"/>
  <c r="Q99" i="1"/>
  <c r="S28" i="1"/>
  <c r="R66" i="1"/>
  <c r="Q110" i="1"/>
  <c r="Q33" i="1"/>
  <c r="S68" i="1"/>
  <c r="R57" i="1"/>
  <c r="P27" i="1"/>
  <c r="P107" i="1"/>
  <c r="S90" i="1"/>
  <c r="Q106" i="1"/>
  <c r="Q68" i="1"/>
  <c r="Q58" i="1"/>
  <c r="S26" i="1"/>
  <c r="R107" i="1"/>
  <c r="Q25" i="1"/>
  <c r="Q83" i="1"/>
  <c r="S63" i="1"/>
  <c r="Q86" i="1"/>
  <c r="P44" i="1"/>
  <c r="S108" i="1"/>
  <c r="Q24" i="1"/>
  <c r="P51" i="1"/>
  <c r="P28" i="1"/>
  <c r="R106" i="1"/>
  <c r="P22" i="1"/>
  <c r="P113" i="1"/>
  <c r="R109" i="1"/>
  <c r="R17" i="1"/>
  <c r="R113" i="1"/>
  <c r="R44" i="1"/>
  <c r="Q100" i="1"/>
  <c r="Q54" i="1"/>
  <c r="R110" i="1"/>
  <c r="Q21" i="1"/>
  <c r="R104" i="1"/>
  <c r="R21" i="1"/>
  <c r="S76" i="1"/>
  <c r="R32" i="1"/>
  <c r="Q66" i="1"/>
  <c r="R105" i="1"/>
  <c r="S61" i="1"/>
  <c r="R24" i="1"/>
  <c r="S58" i="1"/>
  <c r="Q113" i="1"/>
  <c r="P19" i="1"/>
  <c r="R55" i="1"/>
  <c r="S110" i="1"/>
  <c r="Q96" i="1"/>
  <c r="P26" i="1"/>
  <c r="S75" i="1"/>
  <c r="R43" i="1"/>
  <c r="Q94" i="1"/>
  <c r="S16" i="1"/>
  <c r="S83" i="1"/>
  <c r="Q81" i="1"/>
  <c r="R18" i="1"/>
  <c r="R85" i="1"/>
  <c r="R74" i="1"/>
  <c r="P31" i="1"/>
  <c r="P110" i="1"/>
  <c r="R26" i="1"/>
  <c r="S19" i="1"/>
  <c r="R62" i="1"/>
  <c r="R87" i="1"/>
  <c r="R71" i="1"/>
  <c r="R100" i="1"/>
  <c r="S71" i="1"/>
  <c r="Q39" i="1"/>
  <c r="R79" i="1"/>
  <c r="P63" i="1"/>
  <c r="S30" i="1"/>
  <c r="P43" i="1"/>
  <c r="P29" i="1"/>
  <c r="Q75" i="1"/>
  <c r="Q32" i="1"/>
  <c r="R67" i="1"/>
  <c r="P23" i="1"/>
  <c r="R47" i="1"/>
  <c r="Q108" i="1"/>
  <c r="Q79" i="1"/>
  <c r="S29" i="1"/>
  <c r="Q93" i="1"/>
  <c r="R27" i="1"/>
  <c r="R94" i="1"/>
  <c r="S23" i="1"/>
  <c r="P46" i="1"/>
  <c r="S40" i="1"/>
  <c r="Q105" i="1"/>
  <c r="Q20" i="1"/>
  <c r="Q88" i="1"/>
  <c r="R89" i="1"/>
  <c r="S32" i="1"/>
  <c r="S107" i="1"/>
  <c r="R25" i="1"/>
  <c r="S95" i="1"/>
  <c r="P80" i="1"/>
  <c r="P84" i="1"/>
  <c r="S102" i="1"/>
  <c r="P34" i="1"/>
  <c r="S21" i="1"/>
  <c r="R102" i="1"/>
  <c r="Q45" i="1"/>
  <c r="P33" i="1"/>
  <c r="Q112" i="1"/>
  <c r="R58" i="1"/>
  <c r="P93" i="1"/>
  <c r="Q53" i="1"/>
  <c r="Q35" i="1"/>
  <c r="Q26" i="1"/>
  <c r="R91" i="1"/>
  <c r="P30" i="1"/>
  <c r="S52" i="1"/>
  <c r="S35" i="1"/>
  <c r="P95" i="1"/>
  <c r="Q67" i="1"/>
  <c r="S50" i="1"/>
  <c r="R68" i="1"/>
  <c r="Q109" i="1"/>
  <c r="Q42" i="1"/>
  <c r="P99" i="1"/>
  <c r="P15" i="1"/>
  <c r="P60" i="1"/>
  <c r="P89" i="1"/>
  <c r="R112" i="1"/>
  <c r="R108" i="1"/>
  <c r="P25" i="1"/>
  <c r="Q97" i="1"/>
  <c r="Q47" i="1"/>
  <c r="S74" i="1"/>
  <c r="Q29" i="1"/>
  <c r="Q98" i="1"/>
  <c r="R33" i="1"/>
  <c r="P57" i="1"/>
  <c r="R64" i="1"/>
  <c r="P50" i="1"/>
  <c r="R50" i="1"/>
  <c r="S73" i="1"/>
  <c r="S80" i="1"/>
  <c r="S109" i="1"/>
  <c r="R93" i="1"/>
  <c r="Q57" i="1"/>
  <c r="Q90" i="1"/>
  <c r="S24" i="1"/>
  <c r="R54" i="1"/>
  <c r="R70" i="1"/>
  <c r="S79" i="1"/>
  <c r="R29" i="1"/>
  <c r="S37" i="1"/>
  <c r="Q28" i="1"/>
  <c r="P105" i="1"/>
  <c r="P67" i="1"/>
  <c r="S78" i="1"/>
  <c r="R52" i="1"/>
  <c r="M6" i="1" l="1"/>
  <c r="Z14" i="1"/>
  <c r="AE14" i="1" s="1"/>
  <c r="AB113" i="1"/>
  <c r="AG113" i="1" s="1"/>
  <c r="AJ113" i="1" s="1"/>
  <c r="AA113" i="1"/>
  <c r="AF113" i="1" s="1"/>
  <c r="AI113" i="1" s="1"/>
  <c r="Z113" i="1"/>
  <c r="AE113" i="1" s="1"/>
  <c r="AB22" i="1"/>
  <c r="AG22" i="1" s="1"/>
  <c r="AJ22" i="1" s="1"/>
  <c r="AA22" i="1"/>
  <c r="AF22" i="1" s="1"/>
  <c r="AI22" i="1" s="1"/>
  <c r="Z22" i="1"/>
  <c r="AE22" i="1" s="1"/>
  <c r="AA50" i="1"/>
  <c r="AF50" i="1" s="1"/>
  <c r="AI50" i="1" s="1"/>
  <c r="Z50" i="1"/>
  <c r="AE50" i="1" s="1"/>
  <c r="AB50" i="1"/>
  <c r="AG50" i="1" s="1"/>
  <c r="AJ50" i="1" s="1"/>
  <c r="AA28" i="1"/>
  <c r="AF28" i="1" s="1"/>
  <c r="AI28" i="1" s="1"/>
  <c r="AB28" i="1"/>
  <c r="AG28" i="1" s="1"/>
  <c r="AJ28" i="1" s="1"/>
  <c r="Z28" i="1"/>
  <c r="AE28" i="1" s="1"/>
  <c r="AA51" i="1"/>
  <c r="AF51" i="1" s="1"/>
  <c r="AI51" i="1" s="1"/>
  <c r="AB51" i="1"/>
  <c r="AG51" i="1" s="1"/>
  <c r="AJ51" i="1" s="1"/>
  <c r="Z51" i="1"/>
  <c r="AE51" i="1" s="1"/>
  <c r="Z57" i="1"/>
  <c r="AE57" i="1" s="1"/>
  <c r="AA57" i="1"/>
  <c r="AF57" i="1" s="1"/>
  <c r="AI57" i="1" s="1"/>
  <c r="AB57" i="1"/>
  <c r="AG57" i="1" s="1"/>
  <c r="AJ57" i="1" s="1"/>
  <c r="Z44" i="1"/>
  <c r="AE44" i="1" s="1"/>
  <c r="AA44" i="1"/>
  <c r="AF44" i="1" s="1"/>
  <c r="AI44" i="1" s="1"/>
  <c r="AB44" i="1"/>
  <c r="AG44" i="1" s="1"/>
  <c r="AJ44" i="1" s="1"/>
  <c r="Z81" i="1"/>
  <c r="AE81" i="1" s="1"/>
  <c r="AA81" i="1"/>
  <c r="AF81" i="1" s="1"/>
  <c r="AI81" i="1" s="1"/>
  <c r="AB81" i="1"/>
  <c r="AG81" i="1" s="1"/>
  <c r="AJ81" i="1" s="1"/>
  <c r="AB67" i="1"/>
  <c r="AG67" i="1" s="1"/>
  <c r="AJ67" i="1" s="1"/>
  <c r="AA67" i="1"/>
  <c r="AF67" i="1" s="1"/>
  <c r="AI67" i="1" s="1"/>
  <c r="Z67" i="1"/>
  <c r="AE67" i="1" s="1"/>
  <c r="Z82" i="1"/>
  <c r="AE82" i="1" s="1"/>
  <c r="AB82" i="1"/>
  <c r="AG82" i="1" s="1"/>
  <c r="AJ82" i="1" s="1"/>
  <c r="AA82" i="1"/>
  <c r="AF82" i="1" s="1"/>
  <c r="AI82" i="1" s="1"/>
  <c r="AB105" i="1"/>
  <c r="AG105" i="1" s="1"/>
  <c r="AJ105" i="1" s="1"/>
  <c r="AA105" i="1"/>
  <c r="AF105" i="1" s="1"/>
  <c r="AI105" i="1" s="1"/>
  <c r="Z105" i="1"/>
  <c r="AE105" i="1" s="1"/>
  <c r="Z25" i="1"/>
  <c r="AE25" i="1" s="1"/>
  <c r="AB25" i="1"/>
  <c r="AG25" i="1" s="1"/>
  <c r="AJ25" i="1" s="1"/>
  <c r="AA25" i="1"/>
  <c r="AF25" i="1" s="1"/>
  <c r="AI25" i="1" s="1"/>
  <c r="AA58" i="1"/>
  <c r="AF58" i="1" s="1"/>
  <c r="AI58" i="1" s="1"/>
  <c r="AB58" i="1"/>
  <c r="AG58" i="1" s="1"/>
  <c r="AJ58" i="1" s="1"/>
  <c r="Z58" i="1"/>
  <c r="AE58" i="1" s="1"/>
  <c r="Z89" i="1"/>
  <c r="AE89" i="1" s="1"/>
  <c r="AA89" i="1"/>
  <c r="AF89" i="1" s="1"/>
  <c r="AI89" i="1" s="1"/>
  <c r="AB89" i="1"/>
  <c r="AG89" i="1" s="1"/>
  <c r="AJ89" i="1" s="1"/>
  <c r="AB35" i="1"/>
  <c r="AG35" i="1" s="1"/>
  <c r="AJ35" i="1" s="1"/>
  <c r="Z35" i="1"/>
  <c r="AE35" i="1" s="1"/>
  <c r="AA35" i="1"/>
  <c r="AF35" i="1" s="1"/>
  <c r="AI35" i="1" s="1"/>
  <c r="AB60" i="1"/>
  <c r="AG60" i="1" s="1"/>
  <c r="AJ60" i="1" s="1"/>
  <c r="Z60" i="1"/>
  <c r="AE60" i="1" s="1"/>
  <c r="AA60" i="1"/>
  <c r="AF60" i="1" s="1"/>
  <c r="AI60" i="1" s="1"/>
  <c r="Z15" i="1"/>
  <c r="AE15" i="1" s="1"/>
  <c r="AB15" i="1"/>
  <c r="AG15" i="1" s="1"/>
  <c r="AJ15" i="1" s="1"/>
  <c r="AA15" i="1"/>
  <c r="AF15" i="1" s="1"/>
  <c r="AI15" i="1" s="1"/>
  <c r="Z99" i="1"/>
  <c r="AE99" i="1" s="1"/>
  <c r="AA99" i="1"/>
  <c r="AF99" i="1" s="1"/>
  <c r="AI99" i="1" s="1"/>
  <c r="AB99" i="1"/>
  <c r="AG99" i="1" s="1"/>
  <c r="AJ99" i="1" s="1"/>
  <c r="AA107" i="1"/>
  <c r="AF107" i="1" s="1"/>
  <c r="AI107" i="1" s="1"/>
  <c r="AB107" i="1"/>
  <c r="AG107" i="1" s="1"/>
  <c r="AJ107" i="1" s="1"/>
  <c r="Z107" i="1"/>
  <c r="AE107" i="1" s="1"/>
  <c r="Z27" i="1"/>
  <c r="AE27" i="1" s="1"/>
  <c r="AA27" i="1"/>
  <c r="AF27" i="1" s="1"/>
  <c r="AI27" i="1" s="1"/>
  <c r="AB27" i="1"/>
  <c r="AG27" i="1" s="1"/>
  <c r="AJ27" i="1" s="1"/>
  <c r="AA92" i="1"/>
  <c r="AF92" i="1" s="1"/>
  <c r="AI92" i="1" s="1"/>
  <c r="Z92" i="1"/>
  <c r="AE92" i="1" s="1"/>
  <c r="AB92" i="1"/>
  <c r="AG92" i="1" s="1"/>
  <c r="AJ92" i="1" s="1"/>
  <c r="AB54" i="1"/>
  <c r="AG54" i="1" s="1"/>
  <c r="AJ54" i="1" s="1"/>
  <c r="Z54" i="1"/>
  <c r="AE54" i="1" s="1"/>
  <c r="AA54" i="1"/>
  <c r="AF54" i="1" s="1"/>
  <c r="AI54" i="1" s="1"/>
  <c r="AB16" i="1"/>
  <c r="AG16" i="1" s="1"/>
  <c r="AJ16" i="1" s="1"/>
  <c r="AA16" i="1"/>
  <c r="AF16" i="1" s="1"/>
  <c r="AI16" i="1" s="1"/>
  <c r="Z16" i="1"/>
  <c r="AE16" i="1" s="1"/>
  <c r="AB95" i="1"/>
  <c r="AG95" i="1" s="1"/>
  <c r="AJ95" i="1" s="1"/>
  <c r="AA95" i="1"/>
  <c r="AF95" i="1" s="1"/>
  <c r="AI95" i="1" s="1"/>
  <c r="Z95" i="1"/>
  <c r="AE95" i="1" s="1"/>
  <c r="Z71" i="1"/>
  <c r="AE71" i="1" s="1"/>
  <c r="AB71" i="1"/>
  <c r="AG71" i="1" s="1"/>
  <c r="AJ71" i="1" s="1"/>
  <c r="AA71" i="1"/>
  <c r="AF71" i="1" s="1"/>
  <c r="AI71" i="1" s="1"/>
  <c r="Z91" i="1"/>
  <c r="AE91" i="1" s="1"/>
  <c r="AB91" i="1"/>
  <c r="AG91" i="1" s="1"/>
  <c r="AJ91" i="1" s="1"/>
  <c r="AA91" i="1"/>
  <c r="AF91" i="1" s="1"/>
  <c r="AI91" i="1" s="1"/>
  <c r="Z72" i="1"/>
  <c r="AE72" i="1" s="1"/>
  <c r="AB72" i="1"/>
  <c r="AG72" i="1" s="1"/>
  <c r="AJ72" i="1" s="1"/>
  <c r="AA72" i="1"/>
  <c r="AF72" i="1" s="1"/>
  <c r="AI72" i="1" s="1"/>
  <c r="AB49" i="1"/>
  <c r="AG49" i="1" s="1"/>
  <c r="AJ49" i="1" s="1"/>
  <c r="Z49" i="1"/>
  <c r="AE49" i="1" s="1"/>
  <c r="AA49" i="1"/>
  <c r="AF49" i="1" s="1"/>
  <c r="AI49" i="1" s="1"/>
  <c r="AA30" i="1"/>
  <c r="AF30" i="1" s="1"/>
  <c r="AI30" i="1" s="1"/>
  <c r="AB30" i="1"/>
  <c r="AG30" i="1" s="1"/>
  <c r="AJ30" i="1" s="1"/>
  <c r="Z30" i="1"/>
  <c r="AE30" i="1" s="1"/>
  <c r="Z68" i="1"/>
  <c r="AE68" i="1" s="1"/>
  <c r="AA68" i="1"/>
  <c r="AF68" i="1" s="1"/>
  <c r="AI68" i="1" s="1"/>
  <c r="AB68" i="1"/>
  <c r="AG68" i="1" s="1"/>
  <c r="AJ68" i="1" s="1"/>
  <c r="Z73" i="1"/>
  <c r="AE73" i="1" s="1"/>
  <c r="AA73" i="1"/>
  <c r="AF73" i="1" s="1"/>
  <c r="AI73" i="1" s="1"/>
  <c r="AB73" i="1"/>
  <c r="AG73" i="1" s="1"/>
  <c r="AJ73" i="1" s="1"/>
  <c r="Z65" i="1"/>
  <c r="AE65" i="1" s="1"/>
  <c r="AB65" i="1"/>
  <c r="AG65" i="1" s="1"/>
  <c r="AJ65" i="1" s="1"/>
  <c r="AA65" i="1"/>
  <c r="AF65" i="1" s="1"/>
  <c r="AI65" i="1" s="1"/>
  <c r="AA109" i="1"/>
  <c r="AF109" i="1" s="1"/>
  <c r="AI109" i="1" s="1"/>
  <c r="Z109" i="1"/>
  <c r="AE109" i="1" s="1"/>
  <c r="AB109" i="1"/>
  <c r="AG109" i="1" s="1"/>
  <c r="AJ109" i="1" s="1"/>
  <c r="AB93" i="1"/>
  <c r="AG93" i="1" s="1"/>
  <c r="AJ93" i="1" s="1"/>
  <c r="Z93" i="1"/>
  <c r="AE93" i="1" s="1"/>
  <c r="AA93" i="1"/>
  <c r="AF93" i="1" s="1"/>
  <c r="AI93" i="1" s="1"/>
  <c r="AA61" i="1"/>
  <c r="AF61" i="1" s="1"/>
  <c r="AI61" i="1" s="1"/>
  <c r="Z61" i="1"/>
  <c r="AE61" i="1" s="1"/>
  <c r="AB61" i="1"/>
  <c r="AG61" i="1" s="1"/>
  <c r="AJ61" i="1" s="1"/>
  <c r="AB98" i="1"/>
  <c r="AG98" i="1" s="1"/>
  <c r="AJ98" i="1" s="1"/>
  <c r="AA98" i="1"/>
  <c r="AF98" i="1" s="1"/>
  <c r="AI98" i="1" s="1"/>
  <c r="Z98" i="1"/>
  <c r="AE98" i="1" s="1"/>
  <c r="AA45" i="1"/>
  <c r="AF45" i="1" s="1"/>
  <c r="AI45" i="1" s="1"/>
  <c r="AB45" i="1"/>
  <c r="AG45" i="1" s="1"/>
  <c r="AJ45" i="1" s="1"/>
  <c r="Z45" i="1"/>
  <c r="AE45" i="1" s="1"/>
  <c r="Z33" i="1"/>
  <c r="AE33" i="1" s="1"/>
  <c r="AA33" i="1"/>
  <c r="AF33" i="1" s="1"/>
  <c r="AI33" i="1" s="1"/>
  <c r="AB33" i="1"/>
  <c r="AG33" i="1" s="1"/>
  <c r="AJ33" i="1" s="1"/>
  <c r="AA55" i="1"/>
  <c r="AF55" i="1" s="1"/>
  <c r="AI55" i="1" s="1"/>
  <c r="AB55" i="1"/>
  <c r="AG55" i="1" s="1"/>
  <c r="AJ55" i="1" s="1"/>
  <c r="Z55" i="1"/>
  <c r="AE55" i="1" s="1"/>
  <c r="AA102" i="1"/>
  <c r="AF102" i="1" s="1"/>
  <c r="AI102" i="1" s="1"/>
  <c r="AB102" i="1"/>
  <c r="AG102" i="1" s="1"/>
  <c r="AJ102" i="1" s="1"/>
  <c r="Z102" i="1"/>
  <c r="AE102" i="1" s="1"/>
  <c r="AB14" i="1"/>
  <c r="AG14" i="1" s="1"/>
  <c r="AJ14" i="1" s="1"/>
  <c r="AA14" i="1"/>
  <c r="AF14" i="1" s="1"/>
  <c r="AI14" i="1" s="1"/>
  <c r="AB108" i="1"/>
  <c r="AG108" i="1" s="1"/>
  <c r="AJ108" i="1" s="1"/>
  <c r="Z108" i="1"/>
  <c r="AE108" i="1" s="1"/>
  <c r="AA108" i="1"/>
  <c r="AF108" i="1" s="1"/>
  <c r="AI108" i="1" s="1"/>
  <c r="AB34" i="1"/>
  <c r="AG34" i="1" s="1"/>
  <c r="AJ34" i="1" s="1"/>
  <c r="AA34" i="1"/>
  <c r="AF34" i="1" s="1"/>
  <c r="AI34" i="1" s="1"/>
  <c r="Z34" i="1"/>
  <c r="AE34" i="1" s="1"/>
  <c r="Z42" i="1"/>
  <c r="AE42" i="1" s="1"/>
  <c r="AB42" i="1"/>
  <c r="AG42" i="1" s="1"/>
  <c r="AJ42" i="1" s="1"/>
  <c r="AA42" i="1"/>
  <c r="AF42" i="1" s="1"/>
  <c r="AI42" i="1" s="1"/>
  <c r="AA84" i="1"/>
  <c r="AF84" i="1" s="1"/>
  <c r="AI84" i="1" s="1"/>
  <c r="Z84" i="1"/>
  <c r="AE84" i="1" s="1"/>
  <c r="AB84" i="1"/>
  <c r="AG84" i="1" s="1"/>
  <c r="AJ84" i="1" s="1"/>
  <c r="Z80" i="1"/>
  <c r="AE80" i="1" s="1"/>
  <c r="AA80" i="1"/>
  <c r="AF80" i="1" s="1"/>
  <c r="AI80" i="1" s="1"/>
  <c r="AB80" i="1"/>
  <c r="AG80" i="1" s="1"/>
  <c r="AJ80" i="1" s="1"/>
  <c r="Z76" i="1"/>
  <c r="AE76" i="1" s="1"/>
  <c r="AB76" i="1"/>
  <c r="AG76" i="1" s="1"/>
  <c r="AJ76" i="1" s="1"/>
  <c r="AA76" i="1"/>
  <c r="AF76" i="1" s="1"/>
  <c r="AI76" i="1" s="1"/>
  <c r="Z96" i="1"/>
  <c r="AE96" i="1" s="1"/>
  <c r="AB96" i="1"/>
  <c r="AG96" i="1" s="1"/>
  <c r="AJ96" i="1" s="1"/>
  <c r="AA96" i="1"/>
  <c r="AF96" i="1" s="1"/>
  <c r="AI96" i="1" s="1"/>
  <c r="Z85" i="1"/>
  <c r="AE85" i="1" s="1"/>
  <c r="AA85" i="1"/>
  <c r="AF85" i="1" s="1"/>
  <c r="AI85" i="1" s="1"/>
  <c r="AB85" i="1"/>
  <c r="AG85" i="1" s="1"/>
  <c r="AJ85" i="1" s="1"/>
  <c r="AA86" i="1"/>
  <c r="AF86" i="1" s="1"/>
  <c r="AI86" i="1" s="1"/>
  <c r="Z86" i="1"/>
  <c r="AE86" i="1" s="1"/>
  <c r="AB86" i="1"/>
  <c r="AG86" i="1" s="1"/>
  <c r="AJ86" i="1" s="1"/>
  <c r="AA56" i="1"/>
  <c r="AF56" i="1" s="1"/>
  <c r="AI56" i="1" s="1"/>
  <c r="AB56" i="1"/>
  <c r="AG56" i="1" s="1"/>
  <c r="AJ56" i="1" s="1"/>
  <c r="Z56" i="1"/>
  <c r="AE56" i="1" s="1"/>
  <c r="Z75" i="1"/>
  <c r="AE75" i="1" s="1"/>
  <c r="AB75" i="1"/>
  <c r="AG75" i="1" s="1"/>
  <c r="AJ75" i="1" s="1"/>
  <c r="AA75" i="1"/>
  <c r="AF75" i="1" s="1"/>
  <c r="AI75" i="1" s="1"/>
  <c r="Z37" i="1"/>
  <c r="AE37" i="1" s="1"/>
  <c r="AA37" i="1"/>
  <c r="AF37" i="1" s="1"/>
  <c r="AI37" i="1" s="1"/>
  <c r="AB37" i="1"/>
  <c r="AG37" i="1" s="1"/>
  <c r="AJ37" i="1" s="1"/>
  <c r="AA52" i="1"/>
  <c r="AF52" i="1" s="1"/>
  <c r="AI52" i="1" s="1"/>
  <c r="Z52" i="1"/>
  <c r="AE52" i="1" s="1"/>
  <c r="AB52" i="1"/>
  <c r="AG52" i="1" s="1"/>
  <c r="AJ52" i="1" s="1"/>
  <c r="Z46" i="1"/>
  <c r="AE46" i="1" s="1"/>
  <c r="AB46" i="1"/>
  <c r="AG46" i="1" s="1"/>
  <c r="AJ46" i="1" s="1"/>
  <c r="AA46" i="1"/>
  <c r="AF46" i="1" s="1"/>
  <c r="AI46" i="1" s="1"/>
  <c r="AB69" i="1"/>
  <c r="AG69" i="1" s="1"/>
  <c r="AJ69" i="1" s="1"/>
  <c r="AA69" i="1"/>
  <c r="AF69" i="1" s="1"/>
  <c r="AI69" i="1" s="1"/>
  <c r="Z69" i="1"/>
  <c r="AE69" i="1" s="1"/>
  <c r="AA88" i="1"/>
  <c r="AF88" i="1" s="1"/>
  <c r="AI88" i="1" s="1"/>
  <c r="Z88" i="1"/>
  <c r="AE88" i="1" s="1"/>
  <c r="AB88" i="1"/>
  <c r="AG88" i="1" s="1"/>
  <c r="AJ88" i="1" s="1"/>
  <c r="AB83" i="1"/>
  <c r="AG83" i="1" s="1"/>
  <c r="AJ83" i="1" s="1"/>
  <c r="AA83" i="1"/>
  <c r="AF83" i="1" s="1"/>
  <c r="AI83" i="1" s="1"/>
  <c r="Z83" i="1"/>
  <c r="AE83" i="1" s="1"/>
  <c r="Z97" i="1"/>
  <c r="AE97" i="1" s="1"/>
  <c r="AA97" i="1"/>
  <c r="AF97" i="1" s="1"/>
  <c r="AI97" i="1" s="1"/>
  <c r="AB97" i="1"/>
  <c r="AG97" i="1" s="1"/>
  <c r="AJ97" i="1" s="1"/>
  <c r="AA66" i="1"/>
  <c r="AF66" i="1" s="1"/>
  <c r="AI66" i="1" s="1"/>
  <c r="AB66" i="1"/>
  <c r="AG66" i="1" s="1"/>
  <c r="AJ66" i="1" s="1"/>
  <c r="Z66" i="1"/>
  <c r="AE66" i="1" s="1"/>
  <c r="Z24" i="1"/>
  <c r="AE24" i="1" s="1"/>
  <c r="AB24" i="1"/>
  <c r="AG24" i="1" s="1"/>
  <c r="AJ24" i="1" s="1"/>
  <c r="AA24" i="1"/>
  <c r="AF24" i="1" s="1"/>
  <c r="AI24" i="1" s="1"/>
  <c r="AA53" i="1"/>
  <c r="AF53" i="1" s="1"/>
  <c r="AI53" i="1" s="1"/>
  <c r="AB53" i="1"/>
  <c r="AG53" i="1" s="1"/>
  <c r="AJ53" i="1" s="1"/>
  <c r="Z53" i="1"/>
  <c r="AE53" i="1" s="1"/>
  <c r="Z90" i="1"/>
  <c r="AE90" i="1" s="1"/>
  <c r="AB90" i="1"/>
  <c r="AG90" i="1" s="1"/>
  <c r="AJ90" i="1" s="1"/>
  <c r="AA90" i="1"/>
  <c r="AF90" i="1" s="1"/>
  <c r="AI90" i="1" s="1"/>
  <c r="AB87" i="1"/>
  <c r="AG87" i="1" s="1"/>
  <c r="AJ87" i="1" s="1"/>
  <c r="Z87" i="1"/>
  <c r="AE87" i="1" s="1"/>
  <c r="AA87" i="1"/>
  <c r="AF87" i="1" s="1"/>
  <c r="AI87" i="1" s="1"/>
  <c r="AA23" i="1"/>
  <c r="AF23" i="1" s="1"/>
  <c r="AI23" i="1" s="1"/>
  <c r="AB23" i="1"/>
  <c r="AG23" i="1" s="1"/>
  <c r="AJ23" i="1" s="1"/>
  <c r="Z23" i="1"/>
  <c r="AE23" i="1" s="1"/>
  <c r="Z64" i="1"/>
  <c r="AE64" i="1" s="1"/>
  <c r="AB64" i="1"/>
  <c r="AG64" i="1" s="1"/>
  <c r="AJ64" i="1" s="1"/>
  <c r="AA64" i="1"/>
  <c r="AF64" i="1" s="1"/>
  <c r="AI64" i="1" s="1"/>
  <c r="AB40" i="1"/>
  <c r="AG40" i="1" s="1"/>
  <c r="AJ40" i="1" s="1"/>
  <c r="AA40" i="1"/>
  <c r="AF40" i="1" s="1"/>
  <c r="AI40" i="1" s="1"/>
  <c r="Z40" i="1"/>
  <c r="AE40" i="1" s="1"/>
  <c r="AB94" i="1"/>
  <c r="AG94" i="1" s="1"/>
  <c r="AJ94" i="1" s="1"/>
  <c r="Z94" i="1"/>
  <c r="AE94" i="1" s="1"/>
  <c r="AA94" i="1"/>
  <c r="AF94" i="1" s="1"/>
  <c r="AI94" i="1" s="1"/>
  <c r="AB106" i="1"/>
  <c r="AG106" i="1" s="1"/>
  <c r="AJ106" i="1" s="1"/>
  <c r="AA106" i="1"/>
  <c r="AF106" i="1" s="1"/>
  <c r="AI106" i="1" s="1"/>
  <c r="Z106" i="1"/>
  <c r="AE106" i="1" s="1"/>
  <c r="AA29" i="1"/>
  <c r="AF29" i="1" s="1"/>
  <c r="AI29" i="1" s="1"/>
  <c r="Z29" i="1"/>
  <c r="AE29" i="1" s="1"/>
  <c r="AB29" i="1"/>
  <c r="AG29" i="1" s="1"/>
  <c r="AJ29" i="1" s="1"/>
  <c r="Z43" i="1"/>
  <c r="AE43" i="1" s="1"/>
  <c r="AB43" i="1"/>
  <c r="AG43" i="1" s="1"/>
  <c r="AJ43" i="1" s="1"/>
  <c r="AA43" i="1"/>
  <c r="AF43" i="1" s="1"/>
  <c r="AI43" i="1" s="1"/>
  <c r="AB32" i="1"/>
  <c r="AG32" i="1" s="1"/>
  <c r="AJ32" i="1" s="1"/>
  <c r="Z32" i="1"/>
  <c r="AE32" i="1" s="1"/>
  <c r="AA32" i="1"/>
  <c r="AF32" i="1" s="1"/>
  <c r="AI32" i="1" s="1"/>
  <c r="AB111" i="1"/>
  <c r="AG111" i="1" s="1"/>
  <c r="AJ111" i="1" s="1"/>
  <c r="AA111" i="1"/>
  <c r="AF111" i="1" s="1"/>
  <c r="AI111" i="1" s="1"/>
  <c r="Z111" i="1"/>
  <c r="AE111" i="1" s="1"/>
  <c r="AA63" i="1"/>
  <c r="AF63" i="1" s="1"/>
  <c r="AI63" i="1" s="1"/>
  <c r="Z63" i="1"/>
  <c r="AE63" i="1" s="1"/>
  <c r="AB63" i="1"/>
  <c r="AG63" i="1" s="1"/>
  <c r="AJ63" i="1" s="1"/>
  <c r="Z100" i="1"/>
  <c r="AE100" i="1" s="1"/>
  <c r="AA100" i="1"/>
  <c r="AF100" i="1" s="1"/>
  <c r="AI100" i="1" s="1"/>
  <c r="AB100" i="1"/>
  <c r="AG100" i="1" s="1"/>
  <c r="AJ100" i="1" s="1"/>
  <c r="AB41" i="1"/>
  <c r="AG41" i="1" s="1"/>
  <c r="AJ41" i="1" s="1"/>
  <c r="AA41" i="1"/>
  <c r="AF41" i="1" s="1"/>
  <c r="AI41" i="1" s="1"/>
  <c r="Z41" i="1"/>
  <c r="AE41" i="1" s="1"/>
  <c r="Z112" i="1"/>
  <c r="AE112" i="1" s="1"/>
  <c r="AA112" i="1"/>
  <c r="AF112" i="1" s="1"/>
  <c r="AI112" i="1" s="1"/>
  <c r="AB112" i="1"/>
  <c r="AG112" i="1" s="1"/>
  <c r="AJ112" i="1" s="1"/>
  <c r="AA47" i="1"/>
  <c r="AF47" i="1" s="1"/>
  <c r="AI47" i="1" s="1"/>
  <c r="AB47" i="1"/>
  <c r="AG47" i="1" s="1"/>
  <c r="AJ47" i="1" s="1"/>
  <c r="Z47" i="1"/>
  <c r="AE47" i="1" s="1"/>
  <c r="Z38" i="1"/>
  <c r="AE38" i="1" s="1"/>
  <c r="AB38" i="1"/>
  <c r="AG38" i="1" s="1"/>
  <c r="AJ38" i="1" s="1"/>
  <c r="AA38" i="1"/>
  <c r="AF38" i="1" s="1"/>
  <c r="AI38" i="1" s="1"/>
  <c r="Z62" i="1"/>
  <c r="AE62" i="1" s="1"/>
  <c r="AA62" i="1"/>
  <c r="AF62" i="1" s="1"/>
  <c r="AI62" i="1" s="1"/>
  <c r="AB62" i="1"/>
  <c r="AG62" i="1" s="1"/>
  <c r="AJ62" i="1" s="1"/>
  <c r="AA74" i="1"/>
  <c r="AF74" i="1" s="1"/>
  <c r="AI74" i="1" s="1"/>
  <c r="AB74" i="1"/>
  <c r="AG74" i="1" s="1"/>
  <c r="AJ74" i="1" s="1"/>
  <c r="Z74" i="1"/>
  <c r="AE74" i="1" s="1"/>
  <c r="AB110" i="1"/>
  <c r="AG110" i="1" s="1"/>
  <c r="AJ110" i="1" s="1"/>
  <c r="AA110" i="1"/>
  <c r="AF110" i="1" s="1"/>
  <c r="AI110" i="1" s="1"/>
  <c r="Z110" i="1"/>
  <c r="AE110" i="1" s="1"/>
  <c r="Z17" i="1"/>
  <c r="AE17" i="1" s="1"/>
  <c r="AA17" i="1"/>
  <c r="AF17" i="1" s="1"/>
  <c r="AI17" i="1" s="1"/>
  <c r="AB17" i="1"/>
  <c r="AG17" i="1" s="1"/>
  <c r="AJ17" i="1" s="1"/>
  <c r="Z31" i="1"/>
  <c r="AE31" i="1" s="1"/>
  <c r="AA31" i="1"/>
  <c r="AF31" i="1" s="1"/>
  <c r="AI31" i="1" s="1"/>
  <c r="AB31" i="1"/>
  <c r="AG31" i="1" s="1"/>
  <c r="AJ31" i="1" s="1"/>
  <c r="AA101" i="1"/>
  <c r="AF101" i="1" s="1"/>
  <c r="AI101" i="1" s="1"/>
  <c r="AB101" i="1"/>
  <c r="AG101" i="1" s="1"/>
  <c r="AJ101" i="1" s="1"/>
  <c r="Z101" i="1"/>
  <c r="AE101" i="1" s="1"/>
  <c r="AA77" i="1"/>
  <c r="AF77" i="1" s="1"/>
  <c r="AI77" i="1" s="1"/>
  <c r="Z77" i="1"/>
  <c r="AE77" i="1" s="1"/>
  <c r="AB77" i="1"/>
  <c r="AG77" i="1" s="1"/>
  <c r="AJ77" i="1" s="1"/>
  <c r="Z48" i="1"/>
  <c r="AE48" i="1" s="1"/>
  <c r="AB48" i="1"/>
  <c r="AG48" i="1" s="1"/>
  <c r="AJ48" i="1" s="1"/>
  <c r="AA48" i="1"/>
  <c r="AF48" i="1" s="1"/>
  <c r="AI48" i="1" s="1"/>
  <c r="AA21" i="1"/>
  <c r="AF21" i="1" s="1"/>
  <c r="AI21" i="1" s="1"/>
  <c r="Z21" i="1"/>
  <c r="AE21" i="1" s="1"/>
  <c r="AB21" i="1"/>
  <c r="AG21" i="1" s="1"/>
  <c r="AJ21" i="1" s="1"/>
  <c r="AA104" i="1"/>
  <c r="AF104" i="1" s="1"/>
  <c r="AI104" i="1" s="1"/>
  <c r="Z104" i="1"/>
  <c r="AE104" i="1" s="1"/>
  <c r="AB104" i="1"/>
  <c r="AG104" i="1" s="1"/>
  <c r="AJ104" i="1" s="1"/>
  <c r="AA79" i="1"/>
  <c r="AF79" i="1" s="1"/>
  <c r="AI79" i="1" s="1"/>
  <c r="AB79" i="1"/>
  <c r="AG79" i="1" s="1"/>
  <c r="AJ79" i="1" s="1"/>
  <c r="Z79" i="1"/>
  <c r="AE79" i="1" s="1"/>
  <c r="AA20" i="1"/>
  <c r="AF20" i="1" s="1"/>
  <c r="AI20" i="1" s="1"/>
  <c r="AB20" i="1"/>
  <c r="AG20" i="1" s="1"/>
  <c r="AJ20" i="1" s="1"/>
  <c r="Z20" i="1"/>
  <c r="AE20" i="1" s="1"/>
  <c r="Z103" i="1"/>
  <c r="AE103" i="1" s="1"/>
  <c r="AA103" i="1"/>
  <c r="AF103" i="1" s="1"/>
  <c r="AI103" i="1" s="1"/>
  <c r="AB103" i="1"/>
  <c r="AG103" i="1" s="1"/>
  <c r="AJ103" i="1" s="1"/>
  <c r="AB36" i="1"/>
  <c r="AG36" i="1" s="1"/>
  <c r="AJ36" i="1" s="1"/>
  <c r="AA36" i="1"/>
  <c r="AF36" i="1" s="1"/>
  <c r="AI36" i="1" s="1"/>
  <c r="Z36" i="1"/>
  <c r="AE36" i="1" s="1"/>
  <c r="AA26" i="1"/>
  <c r="AF26" i="1" s="1"/>
  <c r="AI26" i="1" s="1"/>
  <c r="AB26" i="1"/>
  <c r="AG26" i="1" s="1"/>
  <c r="AJ26" i="1" s="1"/>
  <c r="Z26" i="1"/>
  <c r="AE26" i="1" s="1"/>
  <c r="Z78" i="1"/>
  <c r="AE78" i="1" s="1"/>
  <c r="AB78" i="1"/>
  <c r="AG78" i="1" s="1"/>
  <c r="AJ78" i="1" s="1"/>
  <c r="AA78" i="1"/>
  <c r="AF78" i="1" s="1"/>
  <c r="AI78" i="1" s="1"/>
  <c r="Z59" i="1"/>
  <c r="AE59" i="1" s="1"/>
  <c r="AB59" i="1"/>
  <c r="AG59" i="1" s="1"/>
  <c r="AJ59" i="1" s="1"/>
  <c r="AA59" i="1"/>
  <c r="AF59" i="1" s="1"/>
  <c r="AI59" i="1" s="1"/>
  <c r="AB70" i="1"/>
  <c r="AG70" i="1" s="1"/>
  <c r="AJ70" i="1" s="1"/>
  <c r="AA70" i="1"/>
  <c r="AF70" i="1" s="1"/>
  <c r="AI70" i="1" s="1"/>
  <c r="Z70" i="1"/>
  <c r="AE70" i="1" s="1"/>
  <c r="Z18" i="1"/>
  <c r="AE18" i="1" s="1"/>
  <c r="AB18" i="1"/>
  <c r="AG18" i="1" s="1"/>
  <c r="AJ18" i="1" s="1"/>
  <c r="AA18" i="1"/>
  <c r="AF18" i="1" s="1"/>
  <c r="AI18" i="1" s="1"/>
  <c r="Z19" i="1"/>
  <c r="AE19" i="1" s="1"/>
  <c r="AB19" i="1"/>
  <c r="AG19" i="1" s="1"/>
  <c r="AJ19" i="1" s="1"/>
  <c r="AA19" i="1"/>
  <c r="AF19" i="1" s="1"/>
  <c r="AI19" i="1" s="1"/>
  <c r="AA39" i="1"/>
  <c r="AF39" i="1" s="1"/>
  <c r="AI39" i="1" s="1"/>
  <c r="Z39" i="1"/>
  <c r="AE39" i="1" s="1"/>
  <c r="AB39" i="1"/>
  <c r="AG39" i="1" s="1"/>
  <c r="AJ39" i="1" s="1"/>
  <c r="AH20" i="1" l="1"/>
  <c r="AQ20" i="1"/>
  <c r="AU20" i="1" s="1"/>
  <c r="AW20" i="1" s="1"/>
  <c r="AP20" i="1"/>
  <c r="AT20" i="1" s="1"/>
  <c r="AH77" i="1"/>
  <c r="AP77" i="1"/>
  <c r="AT77" i="1" s="1"/>
  <c r="AQ77" i="1"/>
  <c r="AU77" i="1" s="1"/>
  <c r="AW77" i="1" s="1"/>
  <c r="AH29" i="1"/>
  <c r="AQ29" i="1"/>
  <c r="AU29" i="1" s="1"/>
  <c r="AW29" i="1" s="1"/>
  <c r="AP29" i="1"/>
  <c r="AT29" i="1" s="1"/>
  <c r="AH52" i="1"/>
  <c r="AQ52" i="1"/>
  <c r="AU52" i="1" s="1"/>
  <c r="AW52" i="1" s="1"/>
  <c r="AP52" i="1"/>
  <c r="AT52" i="1" s="1"/>
  <c r="AH56" i="1"/>
  <c r="AP56" i="1"/>
  <c r="AT56" i="1" s="1"/>
  <c r="AQ56" i="1"/>
  <c r="AU56" i="1" s="1"/>
  <c r="AW56" i="1" s="1"/>
  <c r="AH85" i="1"/>
  <c r="AP85" i="1"/>
  <c r="AT85" i="1" s="1"/>
  <c r="AQ85" i="1"/>
  <c r="AU85" i="1" s="1"/>
  <c r="AW85" i="1" s="1"/>
  <c r="AP34" i="1"/>
  <c r="AT34" i="1" s="1"/>
  <c r="AH34" i="1"/>
  <c r="AQ34" i="1"/>
  <c r="AU34" i="1" s="1"/>
  <c r="AW34" i="1" s="1"/>
  <c r="AH108" i="1"/>
  <c r="AP108" i="1"/>
  <c r="AT108" i="1" s="1"/>
  <c r="AQ108" i="1"/>
  <c r="AU108" i="1" s="1"/>
  <c r="AW108" i="1" s="1"/>
  <c r="AH55" i="1"/>
  <c r="AQ55" i="1"/>
  <c r="AU55" i="1" s="1"/>
  <c r="AW55" i="1" s="1"/>
  <c r="AP55" i="1"/>
  <c r="AT55" i="1" s="1"/>
  <c r="AH93" i="1"/>
  <c r="AQ93" i="1"/>
  <c r="AU93" i="1" s="1"/>
  <c r="AW93" i="1" s="1"/>
  <c r="AP93" i="1"/>
  <c r="AT93" i="1" s="1"/>
  <c r="AH71" i="1"/>
  <c r="AP71" i="1"/>
  <c r="AT71" i="1" s="1"/>
  <c r="AQ71" i="1"/>
  <c r="AU71" i="1" s="1"/>
  <c r="AW71" i="1" s="1"/>
  <c r="AH54" i="1"/>
  <c r="AP54" i="1"/>
  <c r="AT54" i="1" s="1"/>
  <c r="AQ54" i="1"/>
  <c r="AU54" i="1" s="1"/>
  <c r="AW54" i="1" s="1"/>
  <c r="AQ105" i="1"/>
  <c r="AU105" i="1" s="1"/>
  <c r="AW105" i="1" s="1"/>
  <c r="AH105" i="1"/>
  <c r="AP105" i="1"/>
  <c r="AT105" i="1" s="1"/>
  <c r="AQ41" i="1"/>
  <c r="AU41" i="1" s="1"/>
  <c r="AW41" i="1" s="1"/>
  <c r="AH41" i="1"/>
  <c r="AP41" i="1"/>
  <c r="AT41" i="1" s="1"/>
  <c r="AH64" i="1"/>
  <c r="AP64" i="1"/>
  <c r="AT64" i="1" s="1"/>
  <c r="AQ64" i="1"/>
  <c r="AU64" i="1" s="1"/>
  <c r="AW64" i="1" s="1"/>
  <c r="AQ69" i="1"/>
  <c r="AU69" i="1" s="1"/>
  <c r="AW69" i="1" s="1"/>
  <c r="AP69" i="1"/>
  <c r="AT69" i="1" s="1"/>
  <c r="AH69" i="1"/>
  <c r="AP102" i="1"/>
  <c r="AT102" i="1" s="1"/>
  <c r="AH102" i="1"/>
  <c r="AQ102" i="1"/>
  <c r="AU102" i="1" s="1"/>
  <c r="AW102" i="1" s="1"/>
  <c r="AH33" i="1"/>
  <c r="AP33" i="1"/>
  <c r="AT33" i="1" s="1"/>
  <c r="AQ33" i="1"/>
  <c r="AU33" i="1" s="1"/>
  <c r="AW33" i="1" s="1"/>
  <c r="AH61" i="1"/>
  <c r="AQ61" i="1"/>
  <c r="AU61" i="1" s="1"/>
  <c r="AW61" i="1" s="1"/>
  <c r="AP61" i="1"/>
  <c r="AT61" i="1" s="1"/>
  <c r="AH68" i="1"/>
  <c r="AQ68" i="1"/>
  <c r="AU68" i="1" s="1"/>
  <c r="AW68" i="1" s="1"/>
  <c r="AP68" i="1"/>
  <c r="AT68" i="1" s="1"/>
  <c r="AH95" i="1"/>
  <c r="AP95" i="1"/>
  <c r="AT95" i="1" s="1"/>
  <c r="AQ95" i="1"/>
  <c r="AU95" i="1" s="1"/>
  <c r="AW95" i="1" s="1"/>
  <c r="AH89" i="1"/>
  <c r="AQ89" i="1"/>
  <c r="AU89" i="1" s="1"/>
  <c r="AW89" i="1" s="1"/>
  <c r="AP89" i="1"/>
  <c r="AT89" i="1" s="1"/>
  <c r="AH21" i="1"/>
  <c r="AQ21" i="1"/>
  <c r="AU21" i="1" s="1"/>
  <c r="AW21" i="1" s="1"/>
  <c r="AP21" i="1"/>
  <c r="AT21" i="1" s="1"/>
  <c r="AH17" i="1"/>
  <c r="AP17" i="1"/>
  <c r="AT17" i="1" s="1"/>
  <c r="AQ17" i="1"/>
  <c r="AU17" i="1" s="1"/>
  <c r="AW17" i="1" s="1"/>
  <c r="AH100" i="1"/>
  <c r="AP100" i="1"/>
  <c r="AT100" i="1" s="1"/>
  <c r="AQ100" i="1"/>
  <c r="AU100" i="1" s="1"/>
  <c r="AW100" i="1" s="1"/>
  <c r="AH32" i="1"/>
  <c r="AQ32" i="1"/>
  <c r="AU32" i="1" s="1"/>
  <c r="AW32" i="1" s="1"/>
  <c r="AP32" i="1"/>
  <c r="AT32" i="1" s="1"/>
  <c r="AH106" i="1"/>
  <c r="AP106" i="1"/>
  <c r="AT106" i="1" s="1"/>
  <c r="AQ106" i="1"/>
  <c r="AU106" i="1" s="1"/>
  <c r="AW106" i="1" s="1"/>
  <c r="AH94" i="1"/>
  <c r="AQ94" i="1"/>
  <c r="AU94" i="1" s="1"/>
  <c r="AW94" i="1" s="1"/>
  <c r="AP94" i="1"/>
  <c r="AT94" i="1" s="1"/>
  <c r="AH23" i="1"/>
  <c r="AP23" i="1"/>
  <c r="AT23" i="1" s="1"/>
  <c r="AQ23" i="1"/>
  <c r="AU23" i="1" s="1"/>
  <c r="AW23" i="1" s="1"/>
  <c r="AH87" i="1"/>
  <c r="AQ87" i="1"/>
  <c r="AU87" i="1" s="1"/>
  <c r="AW87" i="1" s="1"/>
  <c r="AP87" i="1"/>
  <c r="AT87" i="1" s="1"/>
  <c r="AH90" i="1"/>
  <c r="AQ90" i="1"/>
  <c r="AU90" i="1" s="1"/>
  <c r="AW90" i="1" s="1"/>
  <c r="AP90" i="1"/>
  <c r="AT90" i="1" s="1"/>
  <c r="AH76" i="1"/>
  <c r="AQ76" i="1"/>
  <c r="AU76" i="1" s="1"/>
  <c r="AW76" i="1" s="1"/>
  <c r="AP76" i="1"/>
  <c r="AT76" i="1" s="1"/>
  <c r="AQ45" i="1"/>
  <c r="AU45" i="1" s="1"/>
  <c r="AW45" i="1" s="1"/>
  <c r="AH45" i="1"/>
  <c r="AP45" i="1"/>
  <c r="AT45" i="1" s="1"/>
  <c r="AH73" i="1"/>
  <c r="AQ73" i="1"/>
  <c r="AU73" i="1" s="1"/>
  <c r="AW73" i="1" s="1"/>
  <c r="AP73" i="1"/>
  <c r="AT73" i="1" s="1"/>
  <c r="AH30" i="1"/>
  <c r="AP30" i="1"/>
  <c r="AT30" i="1" s="1"/>
  <c r="AQ30" i="1"/>
  <c r="AU30" i="1" s="1"/>
  <c r="AW30" i="1" s="1"/>
  <c r="AH49" i="1"/>
  <c r="AQ49" i="1"/>
  <c r="AU49" i="1" s="1"/>
  <c r="AW49" i="1" s="1"/>
  <c r="AP49" i="1"/>
  <c r="AT49" i="1" s="1"/>
  <c r="AH72" i="1"/>
  <c r="AQ72" i="1"/>
  <c r="AU72" i="1" s="1"/>
  <c r="AW72" i="1" s="1"/>
  <c r="AP72" i="1"/>
  <c r="AT72" i="1" s="1"/>
  <c r="AH60" i="1"/>
  <c r="AP60" i="1"/>
  <c r="AT60" i="1" s="1"/>
  <c r="AQ60" i="1"/>
  <c r="AU60" i="1" s="1"/>
  <c r="AW60" i="1" s="1"/>
  <c r="AQ58" i="1"/>
  <c r="AU58" i="1" s="1"/>
  <c r="AW58" i="1" s="1"/>
  <c r="AP58" i="1"/>
  <c r="AT58" i="1" s="1"/>
  <c r="AH58" i="1"/>
  <c r="AH67" i="1"/>
  <c r="AQ67" i="1"/>
  <c r="AU67" i="1" s="1"/>
  <c r="AW67" i="1" s="1"/>
  <c r="AP67" i="1"/>
  <c r="AT67" i="1" s="1"/>
  <c r="AH44" i="1"/>
  <c r="AQ44" i="1"/>
  <c r="AU44" i="1" s="1"/>
  <c r="AW44" i="1" s="1"/>
  <c r="AP44" i="1"/>
  <c r="AT44" i="1" s="1"/>
  <c r="AH51" i="1"/>
  <c r="AP51" i="1"/>
  <c r="AT51" i="1" s="1"/>
  <c r="AQ51" i="1"/>
  <c r="AU51" i="1" s="1"/>
  <c r="AW51" i="1" s="1"/>
  <c r="AH113" i="1"/>
  <c r="AQ113" i="1"/>
  <c r="AU113" i="1" s="1"/>
  <c r="AW113" i="1" s="1"/>
  <c r="AP113" i="1"/>
  <c r="AT113" i="1" s="1"/>
  <c r="AH112" i="1"/>
  <c r="AP112" i="1"/>
  <c r="AT112" i="1" s="1"/>
  <c r="AQ112" i="1"/>
  <c r="AU112" i="1" s="1"/>
  <c r="AW112" i="1" s="1"/>
  <c r="AH63" i="1"/>
  <c r="AQ63" i="1"/>
  <c r="AU63" i="1" s="1"/>
  <c r="AW63" i="1" s="1"/>
  <c r="AP63" i="1"/>
  <c r="AT63" i="1" s="1"/>
  <c r="AH40" i="1"/>
  <c r="AP40" i="1"/>
  <c r="AT40" i="1" s="1"/>
  <c r="AQ40" i="1"/>
  <c r="AU40" i="1" s="1"/>
  <c r="AW40" i="1" s="1"/>
  <c r="AH24" i="1"/>
  <c r="AQ24" i="1"/>
  <c r="AU24" i="1" s="1"/>
  <c r="AW24" i="1" s="1"/>
  <c r="AP24" i="1"/>
  <c r="AT24" i="1" s="1"/>
  <c r="AH37" i="1"/>
  <c r="AQ37" i="1"/>
  <c r="AU37" i="1" s="1"/>
  <c r="AW37" i="1" s="1"/>
  <c r="AP37" i="1"/>
  <c r="AT37" i="1" s="1"/>
  <c r="AH86" i="1"/>
  <c r="AP86" i="1"/>
  <c r="AT86" i="1" s="1"/>
  <c r="AQ86" i="1"/>
  <c r="AU86" i="1" s="1"/>
  <c r="AW86" i="1" s="1"/>
  <c r="AH14" i="1"/>
  <c r="AP14" i="1"/>
  <c r="AT14" i="1" s="1"/>
  <c r="AQ14" i="1"/>
  <c r="AU14" i="1" s="1"/>
  <c r="AW14" i="1" s="1"/>
  <c r="AH16" i="1"/>
  <c r="AQ16" i="1"/>
  <c r="AU16" i="1" s="1"/>
  <c r="AW16" i="1" s="1"/>
  <c r="AP16" i="1"/>
  <c r="AT16" i="1" s="1"/>
  <c r="AH107" i="1"/>
  <c r="AQ107" i="1"/>
  <c r="AU107" i="1" s="1"/>
  <c r="AW107" i="1" s="1"/>
  <c r="AP107" i="1"/>
  <c r="AT107" i="1" s="1"/>
  <c r="AH15" i="1"/>
  <c r="AQ15" i="1"/>
  <c r="AU15" i="1" s="1"/>
  <c r="AW15" i="1" s="1"/>
  <c r="AP15" i="1"/>
  <c r="AT15" i="1" s="1"/>
  <c r="AH18" i="1"/>
  <c r="AQ18" i="1"/>
  <c r="AU18" i="1" s="1"/>
  <c r="AW18" i="1" s="1"/>
  <c r="AP18" i="1"/>
  <c r="AT18" i="1" s="1"/>
  <c r="AP66" i="1"/>
  <c r="AT66" i="1" s="1"/>
  <c r="AQ66" i="1"/>
  <c r="AU66" i="1" s="1"/>
  <c r="AW66" i="1" s="1"/>
  <c r="AH66" i="1"/>
  <c r="AH80" i="1"/>
  <c r="AP80" i="1"/>
  <c r="AT80" i="1" s="1"/>
  <c r="AQ80" i="1"/>
  <c r="AU80" i="1" s="1"/>
  <c r="AW80" i="1" s="1"/>
  <c r="AQ98" i="1"/>
  <c r="AU98" i="1" s="1"/>
  <c r="AW98" i="1" s="1"/>
  <c r="AH98" i="1"/>
  <c r="AP98" i="1"/>
  <c r="AT98" i="1" s="1"/>
  <c r="AH91" i="1"/>
  <c r="AQ91" i="1"/>
  <c r="AU91" i="1" s="1"/>
  <c r="AW91" i="1" s="1"/>
  <c r="AP91" i="1"/>
  <c r="AT91" i="1" s="1"/>
  <c r="AH99" i="1"/>
  <c r="AQ99" i="1"/>
  <c r="AU99" i="1" s="1"/>
  <c r="AW99" i="1" s="1"/>
  <c r="AP99" i="1"/>
  <c r="AT99" i="1" s="1"/>
  <c r="AH35" i="1"/>
  <c r="AP35" i="1"/>
  <c r="AT35" i="1" s="1"/>
  <c r="AQ35" i="1"/>
  <c r="AU35" i="1" s="1"/>
  <c r="AW35" i="1" s="1"/>
  <c r="AH82" i="1"/>
  <c r="AP82" i="1"/>
  <c r="AT82" i="1" s="1"/>
  <c r="AQ82" i="1"/>
  <c r="AU82" i="1" s="1"/>
  <c r="AW82" i="1" s="1"/>
  <c r="AH57" i="1"/>
  <c r="AP57" i="1"/>
  <c r="AT57" i="1" s="1"/>
  <c r="AQ57" i="1"/>
  <c r="AU57" i="1" s="1"/>
  <c r="AW57" i="1" s="1"/>
  <c r="AQ28" i="1"/>
  <c r="AU28" i="1" s="1"/>
  <c r="AW28" i="1" s="1"/>
  <c r="AH28" i="1"/>
  <c r="AP28" i="1"/>
  <c r="AT28" i="1" s="1"/>
  <c r="AQ50" i="1"/>
  <c r="AU50" i="1" s="1"/>
  <c r="AW50" i="1" s="1"/>
  <c r="AH50" i="1"/>
  <c r="AP50" i="1"/>
  <c r="AT50" i="1" s="1"/>
  <c r="AH39" i="1"/>
  <c r="AP39" i="1"/>
  <c r="AT39" i="1" s="1"/>
  <c r="AQ39" i="1"/>
  <c r="AU39" i="1" s="1"/>
  <c r="AW39" i="1" s="1"/>
  <c r="AH19" i="1"/>
  <c r="AQ19" i="1"/>
  <c r="AU19" i="1" s="1"/>
  <c r="AW19" i="1" s="1"/>
  <c r="AP19" i="1"/>
  <c r="AT19" i="1" s="1"/>
  <c r="AH70" i="1"/>
  <c r="AQ70" i="1"/>
  <c r="AU70" i="1" s="1"/>
  <c r="AW70" i="1" s="1"/>
  <c r="AP70" i="1"/>
  <c r="AT70" i="1" s="1"/>
  <c r="AH78" i="1"/>
  <c r="AP78" i="1"/>
  <c r="AT78" i="1" s="1"/>
  <c r="AQ78" i="1"/>
  <c r="AU78" i="1" s="1"/>
  <c r="AW78" i="1" s="1"/>
  <c r="AP36" i="1"/>
  <c r="AT36" i="1" s="1"/>
  <c r="AH36" i="1"/>
  <c r="AQ36" i="1"/>
  <c r="AU36" i="1" s="1"/>
  <c r="AW36" i="1" s="1"/>
  <c r="AH48" i="1"/>
  <c r="AQ48" i="1"/>
  <c r="AU48" i="1" s="1"/>
  <c r="AW48" i="1" s="1"/>
  <c r="AP48" i="1"/>
  <c r="AT48" i="1" s="1"/>
  <c r="AH101" i="1"/>
  <c r="AP101" i="1"/>
  <c r="AT101" i="1" s="1"/>
  <c r="AQ101" i="1"/>
  <c r="AU101" i="1" s="1"/>
  <c r="AW101" i="1" s="1"/>
  <c r="AH74" i="1"/>
  <c r="AP74" i="1"/>
  <c r="AT74" i="1" s="1"/>
  <c r="AQ74" i="1"/>
  <c r="AU74" i="1" s="1"/>
  <c r="AW74" i="1" s="1"/>
  <c r="AH38" i="1"/>
  <c r="AP38" i="1"/>
  <c r="AT38" i="1" s="1"/>
  <c r="AQ38" i="1"/>
  <c r="AU38" i="1" s="1"/>
  <c r="AW38" i="1" s="1"/>
  <c r="AH111" i="1"/>
  <c r="AP111" i="1"/>
  <c r="AT111" i="1" s="1"/>
  <c r="AQ111" i="1"/>
  <c r="AU111" i="1" s="1"/>
  <c r="AW111" i="1" s="1"/>
  <c r="AH43" i="1"/>
  <c r="AP43" i="1"/>
  <c r="AT43" i="1" s="1"/>
  <c r="AQ43" i="1"/>
  <c r="AU43" i="1" s="1"/>
  <c r="AW43" i="1" s="1"/>
  <c r="AH97" i="1"/>
  <c r="AP97" i="1"/>
  <c r="AT97" i="1" s="1"/>
  <c r="AQ97" i="1"/>
  <c r="AU97" i="1" s="1"/>
  <c r="AW97" i="1" s="1"/>
  <c r="AH46" i="1"/>
  <c r="AQ46" i="1"/>
  <c r="AU46" i="1" s="1"/>
  <c r="AW46" i="1" s="1"/>
  <c r="AP46" i="1"/>
  <c r="AT46" i="1" s="1"/>
  <c r="AH59" i="1"/>
  <c r="AP59" i="1"/>
  <c r="AT59" i="1" s="1"/>
  <c r="AQ59" i="1"/>
  <c r="AU59" i="1" s="1"/>
  <c r="AW59" i="1" s="1"/>
  <c r="AP26" i="1"/>
  <c r="AT26" i="1" s="1"/>
  <c r="AQ26" i="1"/>
  <c r="AU26" i="1" s="1"/>
  <c r="AW26" i="1" s="1"/>
  <c r="AH26" i="1"/>
  <c r="AH103" i="1"/>
  <c r="AQ103" i="1"/>
  <c r="AU103" i="1" s="1"/>
  <c r="AW103" i="1" s="1"/>
  <c r="AP103" i="1"/>
  <c r="AT103" i="1" s="1"/>
  <c r="AP79" i="1"/>
  <c r="AT79" i="1" s="1"/>
  <c r="AQ79" i="1"/>
  <c r="AU79" i="1" s="1"/>
  <c r="AW79" i="1" s="1"/>
  <c r="AH79" i="1"/>
  <c r="AH104" i="1"/>
  <c r="AP104" i="1"/>
  <c r="AT104" i="1" s="1"/>
  <c r="AQ104" i="1"/>
  <c r="AU104" i="1" s="1"/>
  <c r="AW104" i="1" s="1"/>
  <c r="AH31" i="1"/>
  <c r="AP31" i="1"/>
  <c r="AT31" i="1" s="1"/>
  <c r="AQ31" i="1"/>
  <c r="AU31" i="1" s="1"/>
  <c r="AW31" i="1" s="1"/>
  <c r="AP110" i="1"/>
  <c r="AT110" i="1" s="1"/>
  <c r="AH110" i="1"/>
  <c r="AQ110" i="1"/>
  <c r="AU110" i="1" s="1"/>
  <c r="AW110" i="1" s="1"/>
  <c r="AH62" i="1"/>
  <c r="AP62" i="1"/>
  <c r="AT62" i="1" s="1"/>
  <c r="AQ62" i="1"/>
  <c r="AU62" i="1" s="1"/>
  <c r="AW62" i="1" s="1"/>
  <c r="AP47" i="1"/>
  <c r="AT47" i="1" s="1"/>
  <c r="AQ47" i="1"/>
  <c r="AU47" i="1" s="1"/>
  <c r="AW47" i="1" s="1"/>
  <c r="AH47" i="1"/>
  <c r="AP53" i="1"/>
  <c r="AT53" i="1" s="1"/>
  <c r="AH53" i="1"/>
  <c r="AQ53" i="1"/>
  <c r="AU53" i="1" s="1"/>
  <c r="AW53" i="1" s="1"/>
  <c r="AH83" i="1"/>
  <c r="AP83" i="1"/>
  <c r="AT83" i="1" s="1"/>
  <c r="AQ83" i="1"/>
  <c r="AU83" i="1" s="1"/>
  <c r="AW83" i="1" s="1"/>
  <c r="AH88" i="1"/>
  <c r="AP88" i="1"/>
  <c r="AT88" i="1" s="1"/>
  <c r="AQ88" i="1"/>
  <c r="AU88" i="1" s="1"/>
  <c r="AW88" i="1" s="1"/>
  <c r="AH75" i="1"/>
  <c r="AP75" i="1"/>
  <c r="AT75" i="1" s="1"/>
  <c r="AQ75" i="1"/>
  <c r="AU75" i="1" s="1"/>
  <c r="AW75" i="1" s="1"/>
  <c r="AP96" i="1"/>
  <c r="AT96" i="1" s="1"/>
  <c r="AH96" i="1"/>
  <c r="AQ96" i="1"/>
  <c r="AU96" i="1" s="1"/>
  <c r="AW96" i="1" s="1"/>
  <c r="AH84" i="1"/>
  <c r="AQ84" i="1"/>
  <c r="AU84" i="1" s="1"/>
  <c r="AW84" i="1" s="1"/>
  <c r="AP84" i="1"/>
  <c r="AT84" i="1" s="1"/>
  <c r="AH42" i="1"/>
  <c r="AP42" i="1"/>
  <c r="AT42" i="1" s="1"/>
  <c r="AQ42" i="1"/>
  <c r="AU42" i="1" s="1"/>
  <c r="AW42" i="1" s="1"/>
  <c r="AH109" i="1"/>
  <c r="AP109" i="1"/>
  <c r="AT109" i="1" s="1"/>
  <c r="AQ109" i="1"/>
  <c r="AU109" i="1" s="1"/>
  <c r="AW109" i="1" s="1"/>
  <c r="AH65" i="1"/>
  <c r="AP65" i="1"/>
  <c r="AT65" i="1" s="1"/>
  <c r="AQ65" i="1"/>
  <c r="AU65" i="1" s="1"/>
  <c r="AW65" i="1" s="1"/>
  <c r="AH92" i="1"/>
  <c r="AP92" i="1"/>
  <c r="AT92" i="1" s="1"/>
  <c r="AQ92" i="1"/>
  <c r="AU92" i="1" s="1"/>
  <c r="AW92" i="1" s="1"/>
  <c r="AH27" i="1"/>
  <c r="AQ27" i="1"/>
  <c r="AU27" i="1" s="1"/>
  <c r="AW27" i="1" s="1"/>
  <c r="AP27" i="1"/>
  <c r="AT27" i="1" s="1"/>
  <c r="AH25" i="1"/>
  <c r="AP25" i="1"/>
  <c r="AT25" i="1" s="1"/>
  <c r="AQ25" i="1"/>
  <c r="AU25" i="1" s="1"/>
  <c r="AW25" i="1" s="1"/>
  <c r="AH81" i="1"/>
  <c r="AP81" i="1"/>
  <c r="AT81" i="1" s="1"/>
  <c r="AQ81" i="1"/>
  <c r="AU81" i="1" s="1"/>
  <c r="AW81" i="1" s="1"/>
  <c r="AQ22" i="1"/>
  <c r="AU22" i="1" s="1"/>
  <c r="AW22" i="1" s="1"/>
  <c r="AP22" i="1"/>
  <c r="AT22" i="1" s="1"/>
  <c r="AH22" i="1"/>
  <c r="AV65" i="1" l="1"/>
  <c r="BB65" i="1"/>
  <c r="BD65" i="1" s="1"/>
  <c r="AV47" i="1"/>
  <c r="BB47" i="1"/>
  <c r="BD47" i="1" s="1"/>
  <c r="AV31" i="1"/>
  <c r="BB31" i="1"/>
  <c r="BD31" i="1" s="1"/>
  <c r="AV103" i="1"/>
  <c r="BB103" i="1"/>
  <c r="BD103" i="1" s="1"/>
  <c r="AV43" i="1"/>
  <c r="BB43" i="1"/>
  <c r="BD43" i="1" s="1"/>
  <c r="AV101" i="1"/>
  <c r="BB101" i="1"/>
  <c r="BD101" i="1" s="1"/>
  <c r="AV50" i="1"/>
  <c r="BB50" i="1"/>
  <c r="BD50" i="1" s="1"/>
  <c r="AV107" i="1"/>
  <c r="BB107" i="1"/>
  <c r="BD107" i="1" s="1"/>
  <c r="AV37" i="1"/>
  <c r="BB37" i="1"/>
  <c r="BD37" i="1" s="1"/>
  <c r="AV67" i="1"/>
  <c r="BB67" i="1"/>
  <c r="BD67" i="1" s="1"/>
  <c r="BB58" i="1"/>
  <c r="BD58" i="1" s="1"/>
  <c r="AV58" i="1"/>
  <c r="BB49" i="1"/>
  <c r="BD49" i="1" s="1"/>
  <c r="AV49" i="1"/>
  <c r="AV30" i="1"/>
  <c r="BB30" i="1"/>
  <c r="BD30" i="1" s="1"/>
  <c r="AV76" i="1"/>
  <c r="BB76" i="1"/>
  <c r="BD76" i="1" s="1"/>
  <c r="AV94" i="1"/>
  <c r="BB94" i="1"/>
  <c r="BD94" i="1" s="1"/>
  <c r="AV106" i="1"/>
  <c r="BB106" i="1"/>
  <c r="BD106" i="1" s="1"/>
  <c r="AV68" i="1"/>
  <c r="BB68" i="1"/>
  <c r="BD68" i="1" s="1"/>
  <c r="AV64" i="1"/>
  <c r="BB64" i="1"/>
  <c r="BD64" i="1" s="1"/>
  <c r="AV71" i="1"/>
  <c r="BB71" i="1"/>
  <c r="BD71" i="1" s="1"/>
  <c r="AV52" i="1"/>
  <c r="BB52" i="1"/>
  <c r="BD52" i="1" s="1"/>
  <c r="AV22" i="1"/>
  <c r="BB22" i="1"/>
  <c r="BD22" i="1" s="1"/>
  <c r="AV27" i="1"/>
  <c r="BB27" i="1"/>
  <c r="BD27" i="1" s="1"/>
  <c r="AV92" i="1"/>
  <c r="BB92" i="1"/>
  <c r="BD92" i="1" s="1"/>
  <c r="AV96" i="1"/>
  <c r="BB96" i="1"/>
  <c r="BD96" i="1" s="1"/>
  <c r="AV83" i="1"/>
  <c r="BB83" i="1"/>
  <c r="BD83" i="1" s="1"/>
  <c r="AV53" i="1"/>
  <c r="BB53" i="1"/>
  <c r="BD53" i="1" s="1"/>
  <c r="AV26" i="1"/>
  <c r="BB26" i="1"/>
  <c r="BD26" i="1" s="1"/>
  <c r="AV46" i="1"/>
  <c r="BB46" i="1"/>
  <c r="BD46" i="1" s="1"/>
  <c r="AV97" i="1"/>
  <c r="BB97" i="1"/>
  <c r="BD97" i="1" s="1"/>
  <c r="AV74" i="1"/>
  <c r="BB74" i="1"/>
  <c r="BD74" i="1" s="1"/>
  <c r="AV78" i="1"/>
  <c r="BB78" i="1"/>
  <c r="BD78" i="1" s="1"/>
  <c r="AV35" i="1"/>
  <c r="BB35" i="1"/>
  <c r="BD35" i="1" s="1"/>
  <c r="AV98" i="1"/>
  <c r="BB98" i="1"/>
  <c r="BD98" i="1" s="1"/>
  <c r="AV80" i="1"/>
  <c r="BB80" i="1"/>
  <c r="BD80" i="1" s="1"/>
  <c r="AV66" i="1"/>
  <c r="BB66" i="1"/>
  <c r="BD66" i="1" s="1"/>
  <c r="AV15" i="1"/>
  <c r="BB15" i="1"/>
  <c r="BD15" i="1" s="1"/>
  <c r="AV63" i="1"/>
  <c r="BB63" i="1"/>
  <c r="BD63" i="1" s="1"/>
  <c r="AV112" i="1"/>
  <c r="BB112" i="1"/>
  <c r="BD112" i="1" s="1"/>
  <c r="AV44" i="1"/>
  <c r="BB44" i="1"/>
  <c r="BD44" i="1" s="1"/>
  <c r="AV72" i="1"/>
  <c r="BB72" i="1"/>
  <c r="BD72" i="1" s="1"/>
  <c r="AV45" i="1"/>
  <c r="BB45" i="1"/>
  <c r="BD45" i="1" s="1"/>
  <c r="AV17" i="1"/>
  <c r="BB17" i="1"/>
  <c r="BD17" i="1" s="1"/>
  <c r="AV69" i="1"/>
  <c r="BB69" i="1"/>
  <c r="BD69" i="1" s="1"/>
  <c r="AV105" i="1"/>
  <c r="BB105" i="1"/>
  <c r="BD105" i="1" s="1"/>
  <c r="AV54" i="1"/>
  <c r="BB54" i="1"/>
  <c r="BD54" i="1" s="1"/>
  <c r="AV55" i="1"/>
  <c r="BB55" i="1"/>
  <c r="BD55" i="1" s="1"/>
  <c r="AV108" i="1"/>
  <c r="BB108" i="1"/>
  <c r="BD108" i="1" s="1"/>
  <c r="AV34" i="1"/>
  <c r="BB34" i="1"/>
  <c r="BD34" i="1" s="1"/>
  <c r="AV20" i="1"/>
  <c r="BB20" i="1"/>
  <c r="BD20" i="1" s="1"/>
  <c r="AV42" i="1"/>
  <c r="BB42" i="1"/>
  <c r="BD42" i="1" s="1"/>
  <c r="AV88" i="1"/>
  <c r="BB88" i="1"/>
  <c r="BD88" i="1" s="1"/>
  <c r="AV62" i="1"/>
  <c r="BB62" i="1"/>
  <c r="BD62" i="1" s="1"/>
  <c r="AV110" i="1"/>
  <c r="BB110" i="1"/>
  <c r="BD110" i="1" s="1"/>
  <c r="AV38" i="1"/>
  <c r="BB38" i="1"/>
  <c r="BD38" i="1" s="1"/>
  <c r="AV48" i="1"/>
  <c r="BB48" i="1"/>
  <c r="BD48" i="1" s="1"/>
  <c r="AV19" i="1"/>
  <c r="BB19" i="1"/>
  <c r="BD19" i="1" s="1"/>
  <c r="AV39" i="1"/>
  <c r="BB39" i="1"/>
  <c r="BD39" i="1" s="1"/>
  <c r="AV82" i="1"/>
  <c r="BB82" i="1"/>
  <c r="BD82" i="1" s="1"/>
  <c r="AV91" i="1"/>
  <c r="BB91" i="1"/>
  <c r="BD91" i="1" s="1"/>
  <c r="AV18" i="1"/>
  <c r="BB18" i="1"/>
  <c r="BD18" i="1" s="1"/>
  <c r="AV86" i="1"/>
  <c r="BB86" i="1"/>
  <c r="BD86" i="1" s="1"/>
  <c r="AV73" i="1"/>
  <c r="BB73" i="1"/>
  <c r="BD73" i="1" s="1"/>
  <c r="AV87" i="1"/>
  <c r="BB87" i="1"/>
  <c r="BD87" i="1" s="1"/>
  <c r="AV23" i="1"/>
  <c r="BB23" i="1"/>
  <c r="BD23" i="1" s="1"/>
  <c r="AV32" i="1"/>
  <c r="BB32" i="1"/>
  <c r="BD32" i="1" s="1"/>
  <c r="AV100" i="1"/>
  <c r="BB100" i="1"/>
  <c r="BD100" i="1" s="1"/>
  <c r="AV89" i="1"/>
  <c r="BB89" i="1"/>
  <c r="BD89" i="1" s="1"/>
  <c r="AV95" i="1"/>
  <c r="BB95" i="1"/>
  <c r="BD95" i="1" s="1"/>
  <c r="AV41" i="1"/>
  <c r="BB41" i="1"/>
  <c r="BD41" i="1" s="1"/>
  <c r="AV93" i="1"/>
  <c r="BB93" i="1"/>
  <c r="BD93" i="1" s="1"/>
  <c r="AV56" i="1"/>
  <c r="BB56" i="1"/>
  <c r="BD56" i="1" s="1"/>
  <c r="AV81" i="1"/>
  <c r="BB81" i="1"/>
  <c r="BD81" i="1" s="1"/>
  <c r="AV84" i="1"/>
  <c r="BB84" i="1"/>
  <c r="BD84" i="1" s="1"/>
  <c r="AV25" i="1"/>
  <c r="BB25" i="1"/>
  <c r="BD25" i="1" s="1"/>
  <c r="AV109" i="1"/>
  <c r="BB109" i="1"/>
  <c r="BD109" i="1" s="1"/>
  <c r="AV75" i="1"/>
  <c r="BB75" i="1"/>
  <c r="BD75" i="1" s="1"/>
  <c r="AV104" i="1"/>
  <c r="BB104" i="1"/>
  <c r="BD104" i="1" s="1"/>
  <c r="AV79" i="1"/>
  <c r="BB79" i="1"/>
  <c r="BD79" i="1" s="1"/>
  <c r="AV59" i="1"/>
  <c r="BB59" i="1"/>
  <c r="BD59" i="1" s="1"/>
  <c r="AV111" i="1"/>
  <c r="BB111" i="1"/>
  <c r="BD111" i="1" s="1"/>
  <c r="AV36" i="1"/>
  <c r="BB36" i="1"/>
  <c r="BD36" i="1" s="1"/>
  <c r="AV70" i="1"/>
  <c r="BB70" i="1"/>
  <c r="BD70" i="1" s="1"/>
  <c r="AV28" i="1"/>
  <c r="BB28" i="1"/>
  <c r="BD28" i="1" s="1"/>
  <c r="AV57" i="1"/>
  <c r="BB57" i="1"/>
  <c r="BD57" i="1" s="1"/>
  <c r="AV99" i="1"/>
  <c r="BB99" i="1"/>
  <c r="BD99" i="1" s="1"/>
  <c r="AV16" i="1"/>
  <c r="BB16" i="1"/>
  <c r="BD16" i="1" s="1"/>
  <c r="AV14" i="1"/>
  <c r="BB14" i="1"/>
  <c r="BD14" i="1" s="1"/>
  <c r="BG14" i="1" s="1"/>
  <c r="AV24" i="1"/>
  <c r="BB24" i="1"/>
  <c r="BD24" i="1" s="1"/>
  <c r="AV40" i="1"/>
  <c r="BB40" i="1"/>
  <c r="BD40" i="1" s="1"/>
  <c r="AV113" i="1"/>
  <c r="BB113" i="1"/>
  <c r="BD113" i="1" s="1"/>
  <c r="AV51" i="1"/>
  <c r="BB51" i="1"/>
  <c r="BD51" i="1" s="1"/>
  <c r="AV60" i="1"/>
  <c r="BB60" i="1"/>
  <c r="BD60" i="1" s="1"/>
  <c r="AV90" i="1"/>
  <c r="BB90" i="1"/>
  <c r="BD90" i="1" s="1"/>
  <c r="AV21" i="1"/>
  <c r="BB21" i="1"/>
  <c r="BD21" i="1" s="1"/>
  <c r="AV61" i="1"/>
  <c r="BB61" i="1"/>
  <c r="BD61" i="1" s="1"/>
  <c r="AV33" i="1"/>
  <c r="BB33" i="1"/>
  <c r="BD33" i="1" s="1"/>
  <c r="AV102" i="1"/>
  <c r="BB102" i="1"/>
  <c r="BD102" i="1" s="1"/>
  <c r="AV85" i="1"/>
  <c r="BB85" i="1"/>
  <c r="BD85" i="1" s="1"/>
  <c r="AV29" i="1"/>
  <c r="BB29" i="1"/>
  <c r="BD29" i="1" s="1"/>
  <c r="AV77" i="1"/>
  <c r="BB77" i="1"/>
  <c r="BD77" i="1" s="1"/>
  <c r="BE77" i="1" l="1"/>
  <c r="BG77" i="1"/>
  <c r="BE33" i="1"/>
  <c r="BG33" i="1"/>
  <c r="BE60" i="1"/>
  <c r="BG60" i="1"/>
  <c r="BE24" i="1"/>
  <c r="BG24" i="1"/>
  <c r="BE57" i="1"/>
  <c r="BG57" i="1"/>
  <c r="BE111" i="1"/>
  <c r="BG111" i="1"/>
  <c r="BE75" i="1"/>
  <c r="BG75" i="1"/>
  <c r="BE81" i="1"/>
  <c r="BG81" i="1"/>
  <c r="BE95" i="1"/>
  <c r="BG95" i="1"/>
  <c r="BE23" i="1"/>
  <c r="BG23" i="1"/>
  <c r="BE18" i="1"/>
  <c r="BG18" i="1"/>
  <c r="BE19" i="1"/>
  <c r="BG19" i="1"/>
  <c r="BE62" i="1"/>
  <c r="BG62" i="1"/>
  <c r="BE34" i="1"/>
  <c r="BG34" i="1"/>
  <c r="BE105" i="1"/>
  <c r="BG105" i="1"/>
  <c r="BE72" i="1"/>
  <c r="BG72" i="1"/>
  <c r="BG15" i="1"/>
  <c r="BE15" i="1"/>
  <c r="BE35" i="1"/>
  <c r="BG35" i="1"/>
  <c r="BE46" i="1"/>
  <c r="BG46" i="1"/>
  <c r="BE53" i="1"/>
  <c r="BG53" i="1"/>
  <c r="BE27" i="1"/>
  <c r="BG27" i="1"/>
  <c r="BE52" i="1"/>
  <c r="BG52" i="1"/>
  <c r="BE64" i="1"/>
  <c r="BG64" i="1"/>
  <c r="BE76" i="1"/>
  <c r="BG76" i="1"/>
  <c r="BE67" i="1"/>
  <c r="BG67" i="1"/>
  <c r="BE107" i="1"/>
  <c r="BG107" i="1"/>
  <c r="BE101" i="1"/>
  <c r="BG101" i="1"/>
  <c r="BE103" i="1"/>
  <c r="BG103" i="1"/>
  <c r="BE47" i="1"/>
  <c r="BG47" i="1"/>
  <c r="BE49" i="1"/>
  <c r="BG49" i="1"/>
  <c r="BE29" i="1"/>
  <c r="BG29" i="1"/>
  <c r="BE102" i="1"/>
  <c r="BG102" i="1"/>
  <c r="BE61" i="1"/>
  <c r="BG61" i="1"/>
  <c r="BE90" i="1"/>
  <c r="BG90" i="1"/>
  <c r="BE51" i="1"/>
  <c r="BG51" i="1"/>
  <c r="BE40" i="1"/>
  <c r="BG40" i="1"/>
  <c r="BE14" i="1"/>
  <c r="M4" i="1"/>
  <c r="M5" i="1"/>
  <c r="BE99" i="1"/>
  <c r="BG99" i="1"/>
  <c r="BE28" i="1"/>
  <c r="BG28" i="1"/>
  <c r="BE36" i="1"/>
  <c r="BG36" i="1"/>
  <c r="BE59" i="1"/>
  <c r="BG59" i="1"/>
  <c r="BE104" i="1"/>
  <c r="BG104" i="1"/>
  <c r="BE109" i="1"/>
  <c r="BG109" i="1"/>
  <c r="BE84" i="1"/>
  <c r="BG84" i="1"/>
  <c r="BE56" i="1"/>
  <c r="BG56" i="1"/>
  <c r="BE41" i="1"/>
  <c r="BG41" i="1"/>
  <c r="BE89" i="1"/>
  <c r="BG89" i="1"/>
  <c r="BE32" i="1"/>
  <c r="BG32" i="1"/>
  <c r="BE87" i="1"/>
  <c r="BG87" i="1"/>
  <c r="BE86" i="1"/>
  <c r="BG86" i="1"/>
  <c r="BE91" i="1"/>
  <c r="BG91" i="1"/>
  <c r="BE39" i="1"/>
  <c r="BG39" i="1"/>
  <c r="BE48" i="1"/>
  <c r="BG48" i="1"/>
  <c r="BE110" i="1"/>
  <c r="BG110" i="1"/>
  <c r="BE88" i="1"/>
  <c r="BG88" i="1"/>
  <c r="BE20" i="1"/>
  <c r="BG20" i="1"/>
  <c r="BE108" i="1"/>
  <c r="BG108" i="1"/>
  <c r="BE54" i="1"/>
  <c r="BG54" i="1"/>
  <c r="BE69" i="1"/>
  <c r="BG69" i="1"/>
  <c r="BE45" i="1"/>
  <c r="BG45" i="1"/>
  <c r="BE44" i="1"/>
  <c r="BG44" i="1"/>
  <c r="BE63" i="1"/>
  <c r="BG63" i="1"/>
  <c r="BE66" i="1"/>
  <c r="BG66" i="1"/>
  <c r="BE98" i="1"/>
  <c r="BG98" i="1"/>
  <c r="BE78" i="1"/>
  <c r="BG78" i="1"/>
  <c r="BE97" i="1"/>
  <c r="BG97" i="1"/>
  <c r="BE26" i="1"/>
  <c r="BG26" i="1"/>
  <c r="BE83" i="1"/>
  <c r="BG83" i="1"/>
  <c r="BE92" i="1"/>
  <c r="BG92" i="1"/>
  <c r="BE22" i="1"/>
  <c r="BG22" i="1"/>
  <c r="BE71" i="1"/>
  <c r="BG71" i="1"/>
  <c r="BE68" i="1"/>
  <c r="BG68" i="1"/>
  <c r="BE94" i="1"/>
  <c r="BG94" i="1"/>
  <c r="BE30" i="1"/>
  <c r="BG30" i="1"/>
  <c r="BE37" i="1"/>
  <c r="BG37" i="1"/>
  <c r="BE50" i="1"/>
  <c r="BG50" i="1"/>
  <c r="BE43" i="1"/>
  <c r="BG43" i="1"/>
  <c r="BE31" i="1"/>
  <c r="BG31" i="1"/>
  <c r="BE65" i="1"/>
  <c r="BG65" i="1"/>
  <c r="BE85" i="1"/>
  <c r="BG85" i="1"/>
  <c r="BE21" i="1"/>
  <c r="BG21" i="1"/>
  <c r="BG113" i="1"/>
  <c r="BE113" i="1"/>
  <c r="BE16" i="1"/>
  <c r="BG16" i="1"/>
  <c r="BE70" i="1"/>
  <c r="BG70" i="1"/>
  <c r="BE79" i="1"/>
  <c r="BG79" i="1"/>
  <c r="BE25" i="1"/>
  <c r="BG25" i="1"/>
  <c r="BE93" i="1"/>
  <c r="BG93" i="1"/>
  <c r="BE100" i="1"/>
  <c r="BG100" i="1"/>
  <c r="BE73" i="1"/>
  <c r="BG73" i="1"/>
  <c r="BE82" i="1"/>
  <c r="BG82" i="1"/>
  <c r="BE38" i="1"/>
  <c r="BG38" i="1"/>
  <c r="BE42" i="1"/>
  <c r="BG42" i="1"/>
  <c r="BE55" i="1"/>
  <c r="BG55" i="1"/>
  <c r="BE17" i="1"/>
  <c r="BG17" i="1"/>
  <c r="BE112" i="1"/>
  <c r="BG112" i="1"/>
  <c r="BE80" i="1"/>
  <c r="BG80" i="1"/>
  <c r="BE74" i="1"/>
  <c r="BG74" i="1"/>
  <c r="BE96" i="1"/>
  <c r="BG96" i="1"/>
  <c r="BE106" i="1"/>
  <c r="BG106" i="1"/>
  <c r="BE58" i="1"/>
  <c r="BG58" i="1"/>
  <c r="AZ21" i="1" l="1"/>
  <c r="AZ23" i="1" s="1"/>
  <c r="AZ24" i="1" l="1"/>
  <c r="AZ30" i="1" s="1"/>
  <c r="AM21" i="1"/>
  <c r="AM25" i="1" s="1"/>
  <c r="AN21" i="1"/>
  <c r="AN23" i="1" s="1"/>
  <c r="AZ25" i="1"/>
  <c r="AZ37" i="1" s="1"/>
  <c r="AZ35" i="1"/>
  <c r="AZ29" i="1"/>
  <c r="AZ36" i="1" l="1"/>
  <c r="AZ42" i="1" s="1"/>
  <c r="AZ48" i="1" s="1"/>
  <c r="AM24" i="1"/>
  <c r="AM36" i="1" s="1"/>
  <c r="AM23" i="1"/>
  <c r="AM29" i="1" s="1"/>
  <c r="AM26" i="1"/>
  <c r="AM38" i="1" s="1"/>
  <c r="AZ31" i="1"/>
  <c r="AZ43" i="1" s="1"/>
  <c r="AZ49" i="1" s="1"/>
  <c r="W21" i="1"/>
  <c r="W25" i="1" s="1"/>
  <c r="AN24" i="1"/>
  <c r="AN30" i="1" s="1"/>
  <c r="X21" i="1"/>
  <c r="X24" i="1" s="1"/>
  <c r="AN25" i="1"/>
  <c r="AN31" i="1" s="1"/>
  <c r="V21" i="1"/>
  <c r="V27" i="1" s="1"/>
  <c r="AN26" i="1"/>
  <c r="AN38" i="1" s="1"/>
  <c r="AM37" i="1"/>
  <c r="AM31" i="1"/>
  <c r="AZ41" i="1"/>
  <c r="AZ47" i="1" s="1"/>
  <c r="AN35" i="1"/>
  <c r="AN29" i="1"/>
  <c r="AM30" i="1" l="1"/>
  <c r="AM42" i="1" s="1"/>
  <c r="AM48" i="1" s="1"/>
  <c r="AM35" i="1"/>
  <c r="AM41" i="1" s="1"/>
  <c r="AM47" i="1" s="1"/>
  <c r="AM32" i="1"/>
  <c r="AM44" i="1" s="1"/>
  <c r="AM50" i="1" s="1"/>
  <c r="AN37" i="1"/>
  <c r="W27" i="1"/>
  <c r="W39" i="1" s="1"/>
  <c r="W24" i="1"/>
  <c r="W36" i="1" s="1"/>
  <c r="W23" i="1"/>
  <c r="W35" i="1" s="1"/>
  <c r="W26" i="1"/>
  <c r="W38" i="1" s="1"/>
  <c r="AN36" i="1"/>
  <c r="AN42" i="1" s="1"/>
  <c r="AN48" i="1" s="1"/>
  <c r="X25" i="1"/>
  <c r="X37" i="1" s="1"/>
  <c r="X26" i="1"/>
  <c r="X38" i="1" s="1"/>
  <c r="X27" i="1"/>
  <c r="X39" i="1" s="1"/>
  <c r="X23" i="1"/>
  <c r="X29" i="1" s="1"/>
  <c r="AN32" i="1"/>
  <c r="AN44" i="1" s="1"/>
  <c r="AN50" i="1" s="1"/>
  <c r="V23" i="1"/>
  <c r="V35" i="1" s="1"/>
  <c r="AN43" i="1"/>
  <c r="AN49" i="1" s="1"/>
  <c r="AM43" i="1"/>
  <c r="AM49" i="1" s="1"/>
  <c r="V24" i="1"/>
  <c r="V30" i="1" s="1"/>
  <c r="V25" i="1"/>
  <c r="V37" i="1" s="1"/>
  <c r="V26" i="1"/>
  <c r="V32" i="1" s="1"/>
  <c r="AN41" i="1"/>
  <c r="AN47" i="1" s="1"/>
  <c r="X36" i="1"/>
  <c r="X30" i="1"/>
  <c r="W31" i="1"/>
  <c r="W37" i="1"/>
  <c r="V39" i="1"/>
  <c r="V33" i="1"/>
  <c r="W32" i="1" l="1"/>
  <c r="W44" i="1" s="1"/>
  <c r="W50" i="1" s="1"/>
  <c r="W33" i="1"/>
  <c r="W45" i="1" s="1"/>
  <c r="W51" i="1" s="1"/>
  <c r="X31" i="1"/>
  <c r="X43" i="1" s="1"/>
  <c r="X49" i="1" s="1"/>
  <c r="W30" i="1"/>
  <c r="W42" i="1" s="1"/>
  <c r="W48" i="1" s="1"/>
  <c r="W29" i="1"/>
  <c r="W41" i="1" s="1"/>
  <c r="W47" i="1" s="1"/>
  <c r="X32" i="1"/>
  <c r="X44" i="1" s="1"/>
  <c r="X50" i="1" s="1"/>
  <c r="X35" i="1"/>
  <c r="X41" i="1" s="1"/>
  <c r="X47" i="1" s="1"/>
  <c r="V38" i="1"/>
  <c r="V44" i="1" s="1"/>
  <c r="V50" i="1" s="1"/>
  <c r="X33" i="1"/>
  <c r="X45" i="1" s="1"/>
  <c r="X51" i="1" s="1"/>
  <c r="V36" i="1"/>
  <c r="V42" i="1" s="1"/>
  <c r="V48" i="1" s="1"/>
  <c r="V29" i="1"/>
  <c r="V41" i="1" s="1"/>
  <c r="V47" i="1" s="1"/>
  <c r="V31" i="1"/>
  <c r="V43" i="1" s="1"/>
  <c r="V49" i="1" s="1"/>
  <c r="W43" i="1"/>
  <c r="W49" i="1" s="1"/>
  <c r="X42" i="1"/>
  <c r="X48" i="1" s="1"/>
  <c r="V45" i="1"/>
  <c r="V51" i="1" s="1"/>
</calcChain>
</file>

<file path=xl/sharedStrings.xml><?xml version="1.0" encoding="utf-8"?>
<sst xmlns="http://schemas.openxmlformats.org/spreadsheetml/2006/main" count="226" uniqueCount="190">
  <si>
    <t>y</t>
  </si>
  <si>
    <t>x_4</t>
  </si>
  <si>
    <t>x_3</t>
  </si>
  <si>
    <t>x_2</t>
  </si>
  <si>
    <t>x_1</t>
  </si>
  <si>
    <t>Training example</t>
  </si>
  <si>
    <t>X_1</t>
  </si>
  <si>
    <t>X_2</t>
  </si>
  <si>
    <t>X_3</t>
  </si>
  <si>
    <t>X_4</t>
  </si>
  <si>
    <t>X_0</t>
  </si>
  <si>
    <t>a20</t>
  </si>
  <si>
    <t>a21</t>
  </si>
  <si>
    <t>a22</t>
  </si>
  <si>
    <t>z21</t>
  </si>
  <si>
    <t>z22</t>
  </si>
  <si>
    <t>Third layer</t>
  </si>
  <si>
    <t>Batch</t>
  </si>
  <si>
    <t>Current batch</t>
  </si>
  <si>
    <t>z31</t>
  </si>
  <si>
    <t>z23</t>
  </si>
  <si>
    <t>a23</t>
  </si>
  <si>
    <t>z32</t>
  </si>
  <si>
    <t>a30</t>
  </si>
  <si>
    <t>a31</t>
  </si>
  <si>
    <t>a32</t>
  </si>
  <si>
    <t>z41</t>
  </si>
  <si>
    <t>a41 = h(x)</t>
  </si>
  <si>
    <t>d_31</t>
  </si>
  <si>
    <t>d_32</t>
  </si>
  <si>
    <t>a_20</t>
  </si>
  <si>
    <t>a_21</t>
  </si>
  <si>
    <t>a_22</t>
  </si>
  <si>
    <t>a_23</t>
  </si>
  <si>
    <t>a_30</t>
  </si>
  <si>
    <t>a_31</t>
  </si>
  <si>
    <t>a_32</t>
  </si>
  <si>
    <t>d_41</t>
  </si>
  <si>
    <t>d_21</t>
  </si>
  <si>
    <t>d_22</t>
  </si>
  <si>
    <t>d_23</t>
  </si>
  <si>
    <t>a_10</t>
  </si>
  <si>
    <t>a_11</t>
  </si>
  <si>
    <t>a_12</t>
  </si>
  <si>
    <t>a_13</t>
  </si>
  <si>
    <t>a_14</t>
  </si>
  <si>
    <t>Learning rate</t>
  </si>
  <si>
    <t>Batch size</t>
  </si>
  <si>
    <t>Batch cost (MSE)</t>
  </si>
  <si>
    <t>New weights</t>
  </si>
  <si>
    <t>INPUT LAYER (1)</t>
  </si>
  <si>
    <t>HIDDEN LAYER (2)</t>
  </si>
  <si>
    <t>HIDDEN LAYER (3)</t>
  </si>
  <si>
    <t>OUTPUT LAYER (4)</t>
  </si>
  <si>
    <t>Current weights</t>
  </si>
  <si>
    <t>Weights</t>
  </si>
  <si>
    <t>Activation</t>
  </si>
  <si>
    <t>Dot product</t>
  </si>
  <si>
    <t>Scale X</t>
  </si>
  <si>
    <t>Shuffle X</t>
  </si>
  <si>
    <r>
      <t>𝜽</t>
    </r>
    <r>
      <rPr>
        <b/>
        <vertAlign val="subscript"/>
        <sz val="11"/>
        <color theme="1"/>
        <rFont val="Calibri (Body)"/>
      </rPr>
      <t>11</t>
    </r>
  </si>
  <si>
    <r>
      <t>𝜽</t>
    </r>
    <r>
      <rPr>
        <b/>
        <vertAlign val="subscript"/>
        <sz val="11"/>
        <color theme="1"/>
        <rFont val="Calibri (Body)"/>
      </rPr>
      <t>12</t>
    </r>
  </si>
  <si>
    <r>
      <t>𝜽</t>
    </r>
    <r>
      <rPr>
        <b/>
        <vertAlign val="subscript"/>
        <sz val="11"/>
        <color theme="1"/>
        <rFont val="Calibri (Body)"/>
      </rPr>
      <t>13</t>
    </r>
  </si>
  <si>
    <r>
      <t>𝜽</t>
    </r>
    <r>
      <rPr>
        <b/>
        <vertAlign val="subscript"/>
        <sz val="11"/>
        <color theme="1"/>
        <rFont val="Calibri (Body)"/>
      </rPr>
      <t>21</t>
    </r>
  </si>
  <si>
    <r>
      <t>𝜽</t>
    </r>
    <r>
      <rPr>
        <b/>
        <vertAlign val="subscript"/>
        <sz val="11"/>
        <color theme="1"/>
        <rFont val="Calibri (Body)"/>
      </rPr>
      <t>22</t>
    </r>
  </si>
  <si>
    <r>
      <t>𝜽</t>
    </r>
    <r>
      <rPr>
        <b/>
        <vertAlign val="subscript"/>
        <sz val="11"/>
        <color theme="1"/>
        <rFont val="Calibri (Body)"/>
      </rPr>
      <t>31</t>
    </r>
  </si>
  <si>
    <r>
      <t>𝜽</t>
    </r>
    <r>
      <rPr>
        <vertAlign val="subscript"/>
        <sz val="11"/>
        <color theme="1"/>
        <rFont val="Calibri (Body)"/>
      </rPr>
      <t>110</t>
    </r>
  </si>
  <si>
    <r>
      <t>𝜽</t>
    </r>
    <r>
      <rPr>
        <vertAlign val="subscript"/>
        <sz val="11"/>
        <color theme="1"/>
        <rFont val="Calibri (Body)"/>
      </rPr>
      <t>111</t>
    </r>
  </si>
  <si>
    <r>
      <t>𝜽</t>
    </r>
    <r>
      <rPr>
        <vertAlign val="subscript"/>
        <sz val="11"/>
        <color theme="1"/>
        <rFont val="Calibri (Body)"/>
      </rPr>
      <t>112</t>
    </r>
  </si>
  <si>
    <r>
      <t>𝜽</t>
    </r>
    <r>
      <rPr>
        <vertAlign val="subscript"/>
        <sz val="11"/>
        <color theme="1"/>
        <rFont val="Calibri (Body)"/>
      </rPr>
      <t>113</t>
    </r>
  </si>
  <si>
    <r>
      <t>𝜽</t>
    </r>
    <r>
      <rPr>
        <vertAlign val="subscript"/>
        <sz val="11"/>
        <color theme="1"/>
        <rFont val="Calibri (Body)"/>
      </rPr>
      <t>114</t>
    </r>
  </si>
  <si>
    <r>
      <t>𝜽</t>
    </r>
    <r>
      <rPr>
        <vertAlign val="subscript"/>
        <sz val="11"/>
        <color theme="1"/>
        <rFont val="Calibri (Body)"/>
      </rPr>
      <t>120</t>
    </r>
  </si>
  <si>
    <r>
      <t>𝜽</t>
    </r>
    <r>
      <rPr>
        <vertAlign val="subscript"/>
        <sz val="11"/>
        <color theme="1"/>
        <rFont val="Calibri (Body)"/>
      </rPr>
      <t>121</t>
    </r>
  </si>
  <si>
    <r>
      <t>𝜽</t>
    </r>
    <r>
      <rPr>
        <vertAlign val="subscript"/>
        <sz val="11"/>
        <color theme="1"/>
        <rFont val="Calibri (Body)"/>
      </rPr>
      <t>122</t>
    </r>
  </si>
  <si>
    <r>
      <t>𝜽</t>
    </r>
    <r>
      <rPr>
        <vertAlign val="subscript"/>
        <sz val="11"/>
        <color theme="1"/>
        <rFont val="Calibri (Body)"/>
      </rPr>
      <t>123</t>
    </r>
  </si>
  <si>
    <r>
      <t>𝜽</t>
    </r>
    <r>
      <rPr>
        <vertAlign val="subscript"/>
        <sz val="11"/>
        <color theme="1"/>
        <rFont val="Calibri (Body)"/>
      </rPr>
      <t>124</t>
    </r>
  </si>
  <si>
    <r>
      <t>𝜽</t>
    </r>
    <r>
      <rPr>
        <vertAlign val="subscript"/>
        <sz val="11"/>
        <color theme="1"/>
        <rFont val="Calibri (Body)"/>
      </rPr>
      <t>210</t>
    </r>
  </si>
  <si>
    <r>
      <t>𝜽</t>
    </r>
    <r>
      <rPr>
        <vertAlign val="subscript"/>
        <sz val="11"/>
        <color theme="1"/>
        <rFont val="Calibri (Body)"/>
      </rPr>
      <t>211</t>
    </r>
  </si>
  <si>
    <r>
      <t>𝜽</t>
    </r>
    <r>
      <rPr>
        <vertAlign val="subscript"/>
        <sz val="11"/>
        <color theme="1"/>
        <rFont val="Calibri (Body)"/>
      </rPr>
      <t>212</t>
    </r>
  </si>
  <si>
    <r>
      <t>𝜽</t>
    </r>
    <r>
      <rPr>
        <vertAlign val="subscript"/>
        <sz val="11"/>
        <color theme="1"/>
        <rFont val="Calibri (Body)"/>
      </rPr>
      <t>220</t>
    </r>
  </si>
  <si>
    <r>
      <t>𝜽</t>
    </r>
    <r>
      <rPr>
        <vertAlign val="subscript"/>
        <sz val="11"/>
        <color theme="1"/>
        <rFont val="Calibri (Body)"/>
      </rPr>
      <t>221</t>
    </r>
  </si>
  <si>
    <r>
      <t>𝜽</t>
    </r>
    <r>
      <rPr>
        <vertAlign val="subscript"/>
        <sz val="11"/>
        <color theme="1"/>
        <rFont val="Calibri (Body)"/>
      </rPr>
      <t>222</t>
    </r>
  </si>
  <si>
    <r>
      <t>𝜽</t>
    </r>
    <r>
      <rPr>
        <vertAlign val="subscript"/>
        <sz val="11"/>
        <color theme="1"/>
        <rFont val="Calibri (Body)"/>
      </rPr>
      <t>130</t>
    </r>
  </si>
  <si>
    <r>
      <t>𝜽</t>
    </r>
    <r>
      <rPr>
        <vertAlign val="subscript"/>
        <sz val="11"/>
        <color theme="1"/>
        <rFont val="Calibri (Body)"/>
      </rPr>
      <t>131</t>
    </r>
  </si>
  <si>
    <r>
      <t>𝜽</t>
    </r>
    <r>
      <rPr>
        <vertAlign val="subscript"/>
        <sz val="11"/>
        <color theme="1"/>
        <rFont val="Calibri (Body)"/>
      </rPr>
      <t>132</t>
    </r>
  </si>
  <si>
    <r>
      <t>𝜽</t>
    </r>
    <r>
      <rPr>
        <vertAlign val="subscript"/>
        <sz val="11"/>
        <color theme="1"/>
        <rFont val="Calibri (Body)"/>
      </rPr>
      <t>133</t>
    </r>
  </si>
  <si>
    <r>
      <t>𝜽</t>
    </r>
    <r>
      <rPr>
        <vertAlign val="subscript"/>
        <sz val="11"/>
        <color theme="1"/>
        <rFont val="Calibri (Body)"/>
      </rPr>
      <t>134</t>
    </r>
  </si>
  <si>
    <r>
      <t>𝜽</t>
    </r>
    <r>
      <rPr>
        <vertAlign val="subscript"/>
        <sz val="11"/>
        <color theme="1"/>
        <rFont val="Calibri (Body)"/>
      </rPr>
      <t>213</t>
    </r>
  </si>
  <si>
    <r>
      <t>𝜽</t>
    </r>
    <r>
      <rPr>
        <vertAlign val="subscript"/>
        <sz val="11"/>
        <color theme="1"/>
        <rFont val="Calibri (Body)"/>
      </rPr>
      <t>223</t>
    </r>
  </si>
  <si>
    <r>
      <t>𝜽</t>
    </r>
    <r>
      <rPr>
        <vertAlign val="subscript"/>
        <sz val="11"/>
        <color theme="1"/>
        <rFont val="Calibri (Body)"/>
      </rPr>
      <t>310</t>
    </r>
  </si>
  <si>
    <r>
      <t>𝜽</t>
    </r>
    <r>
      <rPr>
        <vertAlign val="subscript"/>
        <sz val="11"/>
        <color theme="1"/>
        <rFont val="Calibri (Body)"/>
      </rPr>
      <t>311</t>
    </r>
  </si>
  <si>
    <r>
      <t>𝜽</t>
    </r>
    <r>
      <rPr>
        <vertAlign val="subscript"/>
        <sz val="11"/>
        <color theme="1"/>
        <rFont val="Calibri (Body)"/>
      </rPr>
      <t>312</t>
    </r>
  </si>
  <si>
    <t>L2 Regularization</t>
  </si>
  <si>
    <t>Dropout regularization</t>
  </si>
  <si>
    <t>Total batches run</t>
  </si>
  <si>
    <t>Momentum beta</t>
  </si>
  <si>
    <t>RMS prop beta</t>
  </si>
  <si>
    <t>RMS Prop</t>
  </si>
  <si>
    <t>Momentum</t>
  </si>
  <si>
    <t>Adam</t>
  </si>
  <si>
    <t>Gradient Descent</t>
  </si>
  <si>
    <t>Mom-entum</t>
  </si>
  <si>
    <r>
      <t>𝛼</t>
    </r>
    <r>
      <rPr>
        <vertAlign val="subscript"/>
        <sz val="11"/>
        <color theme="1"/>
        <rFont val="Calibri (Body)"/>
      </rPr>
      <t>110</t>
    </r>
  </si>
  <si>
    <r>
      <t>𝛼</t>
    </r>
    <r>
      <rPr>
        <vertAlign val="subscript"/>
        <sz val="11"/>
        <color theme="1"/>
        <rFont val="Calibri (Body)"/>
      </rPr>
      <t>111</t>
    </r>
  </si>
  <si>
    <r>
      <t>𝛼</t>
    </r>
    <r>
      <rPr>
        <vertAlign val="subscript"/>
        <sz val="11"/>
        <color theme="1"/>
        <rFont val="Calibri (Body)"/>
      </rPr>
      <t>112</t>
    </r>
  </si>
  <si>
    <r>
      <t>𝛼</t>
    </r>
    <r>
      <rPr>
        <vertAlign val="subscript"/>
        <sz val="11"/>
        <color theme="1"/>
        <rFont val="Calibri (Body)"/>
      </rPr>
      <t>113</t>
    </r>
  </si>
  <si>
    <r>
      <t>𝛼</t>
    </r>
    <r>
      <rPr>
        <vertAlign val="subscript"/>
        <sz val="11"/>
        <color theme="1"/>
        <rFont val="Calibri (Body)"/>
      </rPr>
      <t>114</t>
    </r>
  </si>
  <si>
    <r>
      <t>𝛼</t>
    </r>
    <r>
      <rPr>
        <vertAlign val="subscript"/>
        <sz val="11"/>
        <color theme="1"/>
        <rFont val="Calibri (Body)"/>
      </rPr>
      <t>120</t>
    </r>
  </si>
  <si>
    <r>
      <t>𝛼</t>
    </r>
    <r>
      <rPr>
        <vertAlign val="subscript"/>
        <sz val="11"/>
        <color theme="1"/>
        <rFont val="Calibri (Body)"/>
      </rPr>
      <t>121</t>
    </r>
  </si>
  <si>
    <r>
      <t>𝛼</t>
    </r>
    <r>
      <rPr>
        <vertAlign val="subscript"/>
        <sz val="11"/>
        <color theme="1"/>
        <rFont val="Calibri (Body)"/>
      </rPr>
      <t>122</t>
    </r>
  </si>
  <si>
    <r>
      <t>𝛼</t>
    </r>
    <r>
      <rPr>
        <vertAlign val="subscript"/>
        <sz val="11"/>
        <color theme="1"/>
        <rFont val="Calibri (Body)"/>
      </rPr>
      <t>123</t>
    </r>
  </si>
  <si>
    <r>
      <t>𝛼</t>
    </r>
    <r>
      <rPr>
        <vertAlign val="subscript"/>
        <sz val="11"/>
        <color theme="1"/>
        <rFont val="Calibri (Body)"/>
      </rPr>
      <t>124</t>
    </r>
  </si>
  <si>
    <r>
      <t>𝛼</t>
    </r>
    <r>
      <rPr>
        <vertAlign val="subscript"/>
        <sz val="11"/>
        <color theme="1"/>
        <rFont val="Calibri (Body)"/>
      </rPr>
      <t>130</t>
    </r>
  </si>
  <si>
    <r>
      <t>𝛼</t>
    </r>
    <r>
      <rPr>
        <vertAlign val="subscript"/>
        <sz val="11"/>
        <color theme="1"/>
        <rFont val="Calibri (Body)"/>
      </rPr>
      <t>131</t>
    </r>
  </si>
  <si>
    <r>
      <t>𝛼</t>
    </r>
    <r>
      <rPr>
        <vertAlign val="subscript"/>
        <sz val="11"/>
        <color theme="1"/>
        <rFont val="Calibri (Body)"/>
      </rPr>
      <t>132</t>
    </r>
  </si>
  <si>
    <r>
      <t>𝛼</t>
    </r>
    <r>
      <rPr>
        <vertAlign val="subscript"/>
        <sz val="11"/>
        <color theme="1"/>
        <rFont val="Calibri (Body)"/>
      </rPr>
      <t>133</t>
    </r>
  </si>
  <si>
    <r>
      <t>𝛼</t>
    </r>
    <r>
      <rPr>
        <vertAlign val="subscript"/>
        <sz val="11"/>
        <color theme="1"/>
        <rFont val="Calibri (Body)"/>
      </rPr>
      <t>134</t>
    </r>
  </si>
  <si>
    <r>
      <t>𝛼</t>
    </r>
    <r>
      <rPr>
        <vertAlign val="subscript"/>
        <sz val="11"/>
        <color theme="1"/>
        <rFont val="Calibri (Body)"/>
      </rPr>
      <t>210</t>
    </r>
  </si>
  <si>
    <r>
      <t>𝛼</t>
    </r>
    <r>
      <rPr>
        <vertAlign val="subscript"/>
        <sz val="11"/>
        <color theme="1"/>
        <rFont val="Calibri (Body)"/>
      </rPr>
      <t>211</t>
    </r>
  </si>
  <si>
    <r>
      <t>𝛼</t>
    </r>
    <r>
      <rPr>
        <vertAlign val="subscript"/>
        <sz val="11"/>
        <color theme="1"/>
        <rFont val="Calibri (Body)"/>
      </rPr>
      <t>212</t>
    </r>
  </si>
  <si>
    <r>
      <t>𝛼</t>
    </r>
    <r>
      <rPr>
        <vertAlign val="subscript"/>
        <sz val="11"/>
        <color theme="1"/>
        <rFont val="Calibri (Body)"/>
      </rPr>
      <t>213</t>
    </r>
  </si>
  <si>
    <r>
      <t>𝛼</t>
    </r>
    <r>
      <rPr>
        <vertAlign val="subscript"/>
        <sz val="11"/>
        <color theme="1"/>
        <rFont val="Calibri (Body)"/>
      </rPr>
      <t>220</t>
    </r>
  </si>
  <si>
    <r>
      <t>𝛼</t>
    </r>
    <r>
      <rPr>
        <vertAlign val="subscript"/>
        <sz val="11"/>
        <color theme="1"/>
        <rFont val="Calibri (Body)"/>
      </rPr>
      <t>221</t>
    </r>
  </si>
  <si>
    <r>
      <t>𝛼</t>
    </r>
    <r>
      <rPr>
        <vertAlign val="subscript"/>
        <sz val="11"/>
        <color theme="1"/>
        <rFont val="Calibri (Body)"/>
      </rPr>
      <t>222</t>
    </r>
  </si>
  <si>
    <r>
      <t>𝛼</t>
    </r>
    <r>
      <rPr>
        <vertAlign val="subscript"/>
        <sz val="11"/>
        <color theme="1"/>
        <rFont val="Calibri (Body)"/>
      </rPr>
      <t>223</t>
    </r>
  </si>
  <si>
    <r>
      <t>𝛼</t>
    </r>
    <r>
      <rPr>
        <vertAlign val="subscript"/>
        <sz val="11"/>
        <color theme="1"/>
        <rFont val="Calibri (Body)"/>
      </rPr>
      <t>310</t>
    </r>
  </si>
  <si>
    <r>
      <t>𝛼</t>
    </r>
    <r>
      <rPr>
        <vertAlign val="subscript"/>
        <sz val="11"/>
        <color theme="1"/>
        <rFont val="Calibri (Body)"/>
      </rPr>
      <t>311</t>
    </r>
  </si>
  <si>
    <r>
      <t>𝛼</t>
    </r>
    <r>
      <rPr>
        <vertAlign val="subscript"/>
        <sz val="11"/>
        <color theme="1"/>
        <rFont val="Calibri (Body)"/>
      </rPr>
      <t>312</t>
    </r>
  </si>
  <si>
    <t>Old Momentum</t>
  </si>
  <si>
    <t>Old RMS Prop</t>
  </si>
  <si>
    <t>Old momentum</t>
  </si>
  <si>
    <t>Old RMS prop</t>
  </si>
  <si>
    <t>Optimization</t>
  </si>
  <si>
    <t>RMS prop</t>
  </si>
  <si>
    <t>ADAM</t>
  </si>
  <si>
    <t>Total training cost (MSE)</t>
  </si>
  <si>
    <t>CV cost (MSE)</t>
  </si>
  <si>
    <t>Exponential</t>
  </si>
  <si>
    <t>Sigmoid</t>
  </si>
  <si>
    <t>Validation</t>
  </si>
  <si>
    <t>Tanh</t>
  </si>
  <si>
    <t>Leaky ReLU</t>
  </si>
  <si>
    <t>Dropout Regularization?</t>
  </si>
  <si>
    <t>a'32</t>
  </si>
  <si>
    <t>a'31</t>
  </si>
  <si>
    <t>a'41</t>
  </si>
  <si>
    <t>a'21</t>
  </si>
  <si>
    <t>a'22</t>
  </si>
  <si>
    <t>a'23</t>
  </si>
  <si>
    <t>Validation MSE</t>
  </si>
  <si>
    <t>Training MSE</t>
  </si>
  <si>
    <t>This workbook aims to demonstrate the mechanics behind an artificial neural network - to de-mistify how they work:</t>
  </si>
  <si>
    <t>The key steps:</t>
  </si>
  <si>
    <t>0a</t>
  </si>
  <si>
    <t>0b</t>
  </si>
  <si>
    <t>1a</t>
  </si>
  <si>
    <t>1b</t>
  </si>
  <si>
    <t>2a</t>
  </si>
  <si>
    <t>2b</t>
  </si>
  <si>
    <t>2c</t>
  </si>
  <si>
    <r>
      <t>Calculating these new parameters is called the</t>
    </r>
    <r>
      <rPr>
        <b/>
        <sz val="11"/>
        <color theme="1"/>
        <rFont val="Calibri"/>
        <family val="2"/>
        <scheme val="minor"/>
      </rPr>
      <t xml:space="preserve"> "backward propagation step".</t>
    </r>
  </si>
  <si>
    <t>3a</t>
  </si>
  <si>
    <t>3b</t>
  </si>
  <si>
    <t>NB</t>
  </si>
  <si>
    <t>There are more advanced optimization functions, such as momentum, RMS prop, and ADAM, that help networks train faster/more efficiently than gradient descent.</t>
  </si>
  <si>
    <r>
      <t xml:space="preserve">Shuffle the examples and scale the variables - this is a rule of thumb to begin with before running any predictive model. The shuffled examples and scaled variables can be seen in the range </t>
    </r>
    <r>
      <rPr>
        <i/>
        <sz val="11"/>
        <color theme="1"/>
        <rFont val="Calibri"/>
        <family val="2"/>
        <scheme val="minor"/>
      </rPr>
      <t>sheet("neural_net").range("N14:S113")</t>
    </r>
  </si>
  <si>
    <r>
      <t xml:space="preserve">Initially, the weights for each neuron are randomly generated. You generate new ones by clicking the </t>
    </r>
    <r>
      <rPr>
        <i/>
        <sz val="11"/>
        <color theme="1"/>
        <rFont val="Calibri"/>
        <family val="2"/>
        <scheme val="minor"/>
      </rPr>
      <t>"Randomly initialize weights"</t>
    </r>
    <r>
      <rPr>
        <sz val="11"/>
        <color theme="1"/>
        <rFont val="Calibri"/>
        <family val="2"/>
        <scheme val="minor"/>
      </rPr>
      <t xml:space="preserve"> button in the </t>
    </r>
    <r>
      <rPr>
        <i/>
        <sz val="11"/>
        <color theme="1"/>
        <rFont val="Calibri"/>
        <family val="2"/>
        <scheme val="minor"/>
      </rPr>
      <t>"neural_net"</t>
    </r>
    <r>
      <rPr>
        <sz val="11"/>
        <color theme="1"/>
        <rFont val="Calibri"/>
        <family val="2"/>
        <scheme val="minor"/>
      </rPr>
      <t xml:space="preserve"> sheet </t>
    </r>
    <r>
      <rPr>
        <b/>
        <sz val="11"/>
        <color theme="1"/>
        <rFont val="Calibri"/>
        <family val="2"/>
        <scheme val="minor"/>
      </rPr>
      <t>(* see note at bottom)</t>
    </r>
    <r>
      <rPr>
        <sz val="11"/>
        <color theme="1"/>
        <rFont val="Calibri"/>
        <family val="2"/>
        <scheme val="minor"/>
      </rPr>
      <t>.</t>
    </r>
  </si>
  <si>
    <r>
      <t xml:space="preserve">This allows each neuron to generate intermediate variables (and for the output layer to generate predictions). Neuron 1 in the (hidden) second layer, for example, applies the weights in the range </t>
    </r>
    <r>
      <rPr>
        <i/>
        <sz val="11"/>
        <color theme="1"/>
        <rFont val="Calibri"/>
        <family val="2"/>
        <scheme val="minor"/>
      </rPr>
      <t>sheet("neural_net").range("V14:V18")</t>
    </r>
    <r>
      <rPr>
        <sz val="11"/>
        <color theme="1"/>
        <rFont val="Calibri"/>
        <family val="2"/>
        <scheme val="minor"/>
      </rPr>
      <t xml:space="preserve"> to the four features (and intercept) from the input layer. For example, for the 59th training example, the features (and intercept) in </t>
    </r>
    <r>
      <rPr>
        <i/>
        <sz val="11"/>
        <color theme="1"/>
        <rFont val="Calibri"/>
        <family val="2"/>
        <scheme val="minor"/>
      </rPr>
      <t xml:space="preserve">sheet("Calc").range("O14:P14") </t>
    </r>
    <r>
      <rPr>
        <sz val="11"/>
        <color theme="1"/>
        <rFont val="Calibri"/>
        <family val="2"/>
        <scheme val="minor"/>
      </rPr>
      <t xml:space="preserve">are multipled by neuron 1's initial random weights to generate "Z_21", </t>
    </r>
    <r>
      <rPr>
        <i/>
        <sz val="11"/>
        <color theme="1"/>
        <rFont val="Calibri"/>
        <family val="2"/>
        <scheme val="minor"/>
      </rPr>
      <t>sheet("neural_net").range("Z14").</t>
    </r>
    <r>
      <rPr>
        <sz val="11"/>
        <color theme="1"/>
        <rFont val="Calibri"/>
        <family val="2"/>
        <scheme val="minor"/>
      </rPr>
      <t xml:space="preserve"> This then undergoes a non-linear transformation (activation), to generate A_21, </t>
    </r>
    <r>
      <rPr>
        <i/>
        <sz val="11"/>
        <color theme="1"/>
        <rFont val="Calibri"/>
        <family val="2"/>
        <scheme val="minor"/>
      </rPr>
      <t>sheet("neural_net").range ("AE14").</t>
    </r>
    <r>
      <rPr>
        <sz val="11"/>
        <color theme="1"/>
        <rFont val="Calibri"/>
        <family val="2"/>
        <scheme val="minor"/>
      </rPr>
      <t xml:space="preserve"> In this workbook, the variable and parameter multiplication is in matrix form to suit those familiar with matrix algebra (although without array formulas to aid understanding).</t>
    </r>
  </si>
  <si>
    <r>
      <t xml:space="preserve">This whole cycle should be repeated with the aim of improving model performance (which can be seen through a gradual lowering of the cost function). The total cost is stored with each click of the iterate button, and plotted on a graph in the </t>
    </r>
    <r>
      <rPr>
        <i/>
        <sz val="11"/>
        <color theme="1"/>
        <rFont val="Calibri"/>
        <family val="2"/>
        <scheme val="minor"/>
      </rPr>
      <t>"MSE"</t>
    </r>
    <r>
      <rPr>
        <sz val="11"/>
        <color theme="1"/>
        <rFont val="Calibri"/>
        <family val="2"/>
        <scheme val="minor"/>
      </rPr>
      <t xml:space="preserve"> sheet.</t>
    </r>
  </si>
  <si>
    <t xml:space="preserve">A neural network tries to learn the relationship between an observation and its features. Neural networks are very powerful, partly because they can find complex relationships between features that influence the observation which are more tricky with traditional linear regression methods. </t>
  </si>
  <si>
    <t>As the network approaches the (local) minima, the rate the cost will fall at slows down. When the decrease in cost with additional iterations is neglible, the neural network is said to have "converged".</t>
  </si>
  <si>
    <t>Once a prediction has been made, the model can then compare how close its predictions were to the actual observation, and tweak its architecture iteratively in a way to make it more accurate next time. It does this by changing the way the neurons combine and transform the features, altering their 'weights'. Tweaking the weights in each neuron to improve model performance is called the 'back propagation' step.</t>
  </si>
  <si>
    <t>One way to think about neural networks is as each neuron (the circles) being its own mini predictive model, that generates outputs that are used by the subsequent layer. Hence, each neuron has parameters (or "weights") that it multiplies the previous layer's output by (like coefficients). A non-linear transformation is then applied on these dot-product outputs, such as a sigmoid function, before it is passed to the next layer - this is called the activation function. These weights are then tweaked with each backpropagation step.</t>
  </si>
  <si>
    <t>For each observation, a neural network:
- Takes the features into an 'input layer'
- Combines and transforms these features in multiple ways in 'hidden layers'
- Then predicts what the observation might be at the 'output layer'. 
These intermediate steps of combinating and transformaing of features at each layer is done in 'neurons', as illustrated in the diagram. This step is called 'forward propagation'</t>
  </si>
  <si>
    <r>
      <t>The culmination of all the neurons using their parameters to generate intermediate variables and evenutally generate a prediction for each training and validation example in the output layer as part of the</t>
    </r>
    <r>
      <rPr>
        <b/>
        <sz val="11"/>
        <color theme="1"/>
        <rFont val="Calibri"/>
        <family val="2"/>
        <scheme val="minor"/>
      </rPr>
      <t xml:space="preserve"> "forward propagation step"</t>
    </r>
  </si>
  <si>
    <r>
      <t xml:space="preserve">The partial derivatives of the cost function can be generated for each training batch. For neuron 1 in the (hidden) second layer, for example, this is shown in </t>
    </r>
    <r>
      <rPr>
        <i/>
        <sz val="11"/>
        <color theme="1"/>
        <rFont val="Calibri"/>
        <family val="2"/>
        <scheme val="minor"/>
      </rPr>
      <t>sheet("neural_net").range("V23:V27")</t>
    </r>
    <r>
      <rPr>
        <sz val="11"/>
        <color theme="1"/>
        <rFont val="Calibri"/>
        <family val="2"/>
        <scheme val="minor"/>
      </rPr>
      <t xml:space="preserve">. The result from subtracting a portion of it, where the size of the portion is determined by the exogenous/pre-determined learning rate </t>
    </r>
    <r>
      <rPr>
        <i/>
        <sz val="11"/>
        <color theme="1"/>
        <rFont val="Calibri"/>
        <family val="2"/>
        <scheme val="minor"/>
      </rPr>
      <t>alpha</t>
    </r>
    <r>
      <rPr>
        <sz val="11"/>
        <color theme="1"/>
        <rFont val="Calibri"/>
        <family val="2"/>
        <scheme val="minor"/>
      </rPr>
      <t xml:space="preserve">, is shown in </t>
    </r>
    <r>
      <rPr>
        <i/>
        <sz val="11"/>
        <color theme="1"/>
        <rFont val="Calibri"/>
        <family val="2"/>
        <scheme val="minor"/>
      </rPr>
      <t>sheet("neural_net").range("V47:V51") - these are the new weights to be used in the subsequent forward propagation step.</t>
    </r>
  </si>
  <si>
    <r>
      <t xml:space="preserve">The forwards and backwards propagation steps are repeated for each batch. To iterate through all the training examples once, click the </t>
    </r>
    <r>
      <rPr>
        <i/>
        <sz val="11"/>
        <color theme="1"/>
        <rFont val="Calibri"/>
        <family val="2"/>
        <scheme val="minor"/>
      </rPr>
      <t>"Run one epoch"</t>
    </r>
    <r>
      <rPr>
        <sz val="11"/>
        <color theme="1"/>
        <rFont val="Calibri"/>
        <family val="2"/>
        <scheme val="minor"/>
      </rPr>
      <t xml:space="preserve"> button on the calc sheet. Iterating through all the training data once is called an "Epoch" (so running it 50 times is called 50 epochs).</t>
    </r>
  </si>
  <si>
    <t>* Ideally this model would use a far greater number of training examples and features: this would be generally preferable to improve the performance of any machine learning algorithm. However, this workbook only uses 100 examples and 4 features for the sake of simplicity and due to the memory and processing constraints of Excel.</t>
  </si>
  <si>
    <t>** Note that this is using an L2 regularized cost function, with the option of adding dropout regularization</t>
  </si>
  <si>
    <t>The key hyperparameters</t>
  </si>
  <si>
    <r>
      <rPr>
        <b/>
        <sz val="11"/>
        <color theme="1"/>
        <rFont val="Calibri"/>
        <family val="2"/>
        <scheme val="minor"/>
      </rPr>
      <t xml:space="preserve">Batch size: </t>
    </r>
    <r>
      <rPr>
        <sz val="11"/>
        <color theme="1"/>
        <rFont val="Calibri"/>
        <family val="2"/>
        <scheme val="minor"/>
      </rPr>
      <t>The number of observations to consider when conducting the back-propagation step. If it is too small, there might not be enough data to train well from. If it is too large, the back-propagation step might be too computationally intensive and slow training</t>
    </r>
  </si>
  <si>
    <r>
      <rPr>
        <b/>
        <sz val="11"/>
        <color theme="1"/>
        <rFont val="Calibri"/>
        <family val="2"/>
        <scheme val="minor"/>
      </rPr>
      <t>Learning rate: T</t>
    </r>
    <r>
      <rPr>
        <sz val="11"/>
        <color theme="1"/>
        <rFont val="Calibri"/>
        <family val="2"/>
        <scheme val="minor"/>
      </rPr>
      <t>he degree to  which the model should tweak the weights with each back-propagation step. If it is too small, the learning of the relationship is too slow. If it is too large, then the weights can overshoot then overcompensate etc. and actually increase the cost!</t>
    </r>
  </si>
  <si>
    <r>
      <t xml:space="preserve">L2 Regularization: </t>
    </r>
    <r>
      <rPr>
        <sz val="11"/>
        <color theme="1"/>
        <rFont val="Calibri"/>
        <family val="2"/>
        <scheme val="minor"/>
      </rPr>
      <t>The degree of L2 regularization to apply to the cost function (the lambda). If it is too low, the model can overfit - if it its too high, the model can underfit</t>
    </r>
  </si>
  <si>
    <r>
      <t xml:space="preserve">Dropout Regularization: </t>
    </r>
    <r>
      <rPr>
        <sz val="11"/>
        <color theme="1"/>
        <rFont val="Calibri"/>
        <family val="2"/>
        <scheme val="minor"/>
      </rPr>
      <t>The probability that in any iteration, one neuron's dot-product returns zero values (rather than its normal output). This helps to prevent the model's over-reliance on a particular neuron</t>
    </r>
  </si>
  <si>
    <r>
      <t>Momentum beta</t>
    </r>
    <r>
      <rPr>
        <sz val="11"/>
        <color theme="1"/>
        <rFont val="Calibri"/>
        <family val="2"/>
        <scheme val="minor"/>
      </rPr>
      <t>: The amount of 'momentum' from optimum tweaks made to prior batches to apply to the momentum optimization method. If it is higher, it places more weight on the optimal tweaks that would improve model performance for prior batches, and less weight to the current tweak that would be optimal for the current batch.</t>
    </r>
  </si>
  <si>
    <r>
      <t>RMS Prop beta</t>
    </r>
    <r>
      <rPr>
        <sz val="11"/>
        <color theme="1"/>
        <rFont val="Calibri"/>
        <family val="2"/>
        <scheme val="minor"/>
      </rPr>
      <t>: The amount of 'momentum' from optimum tweaks made to prior batches to apply to the RMS Prop method. If it is higher, it places more weight on the optimal tweaks that would improve model performance for prior batches, and less weight to the current tweak that would be optimal for the current batch.</t>
    </r>
  </si>
  <si>
    <r>
      <t xml:space="preserve">Optimization: </t>
    </r>
    <r>
      <rPr>
        <sz val="11"/>
        <color theme="1"/>
        <rFont val="Calibri"/>
        <family val="2"/>
        <scheme val="minor"/>
      </rPr>
      <t>The optimization method chosen to tweak the weights in a neural network. This can be gradient descent, momentum, RMS prop, or ADAM (which combines momentum and RMS prop)</t>
    </r>
  </si>
  <si>
    <r>
      <t>There are a series of optimization methods that can be used to tweak the weights to improve the model performance, such as gradient descent.  Gradient descent is where, given some parameters and a defined cost function (such as mean squared error), the parameters are tweaked iteratively to lower the cost. For those familiar with calculus, this is achieved by taking parameter_i, and then subtracting a portion of the partial derivative of the cost function with respect to that parameter_i for a particular training example (again, this is not too important if you are not familiar with partial derivatives). The size of the portion used is dictated by the</t>
    </r>
    <r>
      <rPr>
        <i/>
        <sz val="11"/>
        <color theme="1"/>
        <rFont val="Calibri"/>
        <family val="2"/>
        <scheme val="minor"/>
      </rPr>
      <t xml:space="preserve"> learning rate</t>
    </r>
    <r>
      <rPr>
        <sz val="11"/>
        <color theme="1"/>
        <rFont val="Calibri"/>
        <family val="2"/>
        <scheme val="minor"/>
      </rPr>
      <t>. If the learning rate is not too large, then subtracting the portion will tweak the parameter towards the (local minimum). If the learning rate is too large, it could overshoot the minimum, and in fact even increase the cost!</t>
    </r>
  </si>
  <si>
    <t>The predictions in the training data can then be compared to the actual results, and this can be used to calculate the size of the errors in the training and validation sets using the cost function (which are stored and plotted in this macro). In neural networks, this is generally done for one mini batch at a time. Stochastic Gradient Descent (SGD) is where the batch size is 1; Batch Gradient Descent is where the batch size is the size of the training data; mini-batch is a 'goldilocks' batch size between the two.</t>
  </si>
  <si>
    <t>* HE initialization: where stddev = sqrt(2/num_input_units) in the weight tensor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</si>
</sst>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
    <numFmt numFmtId="166" formatCode="0.0E+00"/>
    <numFmt numFmtId="167" formatCode="0.000"/>
  </numFmts>
  <fonts count="14">
    <font>
      <sz val="11"/>
      <color theme="1"/>
      <name val="Calibri"/>
      <family val="2"/>
      <scheme val="minor"/>
    </font>
    <font>
      <b/>
      <sz val="11"/>
      <color theme="1"/>
      <name val="Calibri"/>
      <family val="2"/>
      <scheme val="minor"/>
    </font>
    <font>
      <sz val="11"/>
      <color theme="1"/>
      <name val="Calibri"/>
      <family val="2"/>
      <scheme val="minor"/>
    </font>
    <font>
      <b/>
      <vertAlign val="subscript"/>
      <sz val="11"/>
      <color theme="1"/>
      <name val="Calibri (Body)"/>
    </font>
    <font>
      <sz val="11"/>
      <color rgb="FF000000"/>
      <name val="Calibri"/>
      <family val="2"/>
    </font>
    <font>
      <sz val="12"/>
      <color rgb="FF000000"/>
      <name val="Calibri"/>
      <family val="2"/>
    </font>
    <font>
      <vertAlign val="subscript"/>
      <sz val="11"/>
      <color theme="1"/>
      <name val="Calibri (Body)"/>
    </font>
    <font>
      <b/>
      <sz val="11"/>
      <color theme="0" tint="-4.9989318521683403E-2"/>
      <name val="Calibri"/>
      <family val="2"/>
      <scheme val="minor"/>
    </font>
    <font>
      <b/>
      <sz val="11"/>
      <color theme="0" tint="-0.14999847407452621"/>
      <name val="Calibri"/>
      <family val="2"/>
      <scheme val="minor"/>
    </font>
    <font>
      <b/>
      <sz val="11"/>
      <color theme="0" tint="-0.249977111117893"/>
      <name val="Calibri"/>
      <family val="2"/>
      <scheme val="minor"/>
    </font>
    <font>
      <sz val="11"/>
      <color theme="0"/>
      <name val="Calibri"/>
      <family val="2"/>
      <scheme val="minor"/>
    </font>
    <font>
      <b/>
      <sz val="11"/>
      <color theme="0"/>
      <name val="Calibri"/>
      <family val="2"/>
      <scheme val="minor"/>
    </font>
    <font>
      <b/>
      <sz val="14"/>
      <color theme="1"/>
      <name val="Calibri"/>
      <family val="2"/>
      <scheme val="minor"/>
    </font>
    <font>
      <i/>
      <sz val="11"/>
      <color theme="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rgb="FFFFFF00"/>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style="medium">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s>
  <cellStyleXfs count="2">
    <xf numFmtId="0" fontId="0" fillId="0" borderId="0"/>
    <xf numFmtId="9" fontId="2" fillId="0" borderId="0" applyFont="0" applyFill="0" applyBorder="0" applyAlignment="0" applyProtection="0"/>
  </cellStyleXfs>
  <cellXfs count="184">
    <xf numFmtId="0" fontId="0" fillId="0" borderId="0" xfId="0"/>
    <xf numFmtId="0" fontId="0" fillId="0" borderId="1" xfId="0" applyBorder="1"/>
    <xf numFmtId="0" fontId="1" fillId="0" borderId="1" xfId="0" applyFont="1" applyBorder="1" applyAlignment="1">
      <alignment horizontal="center" vertical="center"/>
    </xf>
    <xf numFmtId="0" fontId="1" fillId="0" borderId="0" xfId="0" applyFont="1"/>
    <xf numFmtId="0" fontId="0" fillId="0" borderId="0" xfId="0" applyBorder="1"/>
    <xf numFmtId="164" fontId="0" fillId="0" borderId="0" xfId="0" applyNumberFormat="1" applyBorder="1"/>
    <xf numFmtId="165" fontId="0" fillId="0" borderId="1" xfId="0" applyNumberFormat="1" applyBorder="1"/>
    <xf numFmtId="0" fontId="1" fillId="0" borderId="0" xfId="0" applyFont="1" applyAlignment="1">
      <alignment horizontal="left" vertical="center"/>
    </xf>
    <xf numFmtId="0" fontId="1" fillId="0" borderId="0" xfId="0" applyFont="1" applyAlignment="1"/>
    <xf numFmtId="0" fontId="0" fillId="2" borderId="0" xfId="0" applyFill="1" applyAlignment="1">
      <alignment horizontal="right"/>
    </xf>
    <xf numFmtId="0" fontId="0" fillId="2" borderId="0" xfId="0" applyFill="1"/>
    <xf numFmtId="0" fontId="0" fillId="2" borderId="1" xfId="0" applyFill="1" applyBorder="1"/>
    <xf numFmtId="164" fontId="0" fillId="2" borderId="3" xfId="0" applyNumberFormat="1" applyFill="1" applyBorder="1"/>
    <xf numFmtId="164" fontId="0" fillId="2" borderId="4" xfId="0" applyNumberFormat="1" applyFill="1" applyBorder="1"/>
    <xf numFmtId="164" fontId="0" fillId="2" borderId="5" xfId="0" applyNumberFormat="1" applyFill="1" applyBorder="1"/>
    <xf numFmtId="164" fontId="0" fillId="2" borderId="7" xfId="0" applyNumberFormat="1" applyFill="1" applyBorder="1"/>
    <xf numFmtId="164" fontId="0" fillId="2" borderId="8" xfId="0" applyNumberFormat="1" applyFill="1" applyBorder="1"/>
    <xf numFmtId="164" fontId="0" fillId="2" borderId="9" xfId="0" applyNumberFormat="1" applyFill="1" applyBorder="1"/>
    <xf numFmtId="164" fontId="0" fillId="2" borderId="10" xfId="0" applyNumberFormat="1" applyFill="1" applyBorder="1"/>
    <xf numFmtId="164" fontId="0" fillId="2" borderId="11" xfId="0" applyNumberFormat="1" applyFill="1" applyBorder="1"/>
    <xf numFmtId="164" fontId="0" fillId="2" borderId="12" xfId="0" applyNumberFormat="1" applyFill="1" applyBorder="1"/>
    <xf numFmtId="164" fontId="0" fillId="2" borderId="14" xfId="0" applyNumberFormat="1" applyFill="1" applyBorder="1"/>
    <xf numFmtId="164" fontId="0" fillId="2" borderId="15" xfId="0" applyNumberFormat="1" applyFill="1" applyBorder="1"/>
    <xf numFmtId="164" fontId="0" fillId="2" borderId="16" xfId="0" applyNumberFormat="1" applyFill="1" applyBorder="1"/>
    <xf numFmtId="0" fontId="0" fillId="3" borderId="0" xfId="0" applyFill="1"/>
    <xf numFmtId="0" fontId="0" fillId="4" borderId="0" xfId="0" applyFill="1"/>
    <xf numFmtId="164" fontId="0" fillId="4" borderId="3" xfId="0" applyNumberFormat="1" applyFill="1" applyBorder="1"/>
    <xf numFmtId="164" fontId="0" fillId="4" borderId="5" xfId="0" applyNumberFormat="1" applyFill="1" applyBorder="1"/>
    <xf numFmtId="164" fontId="0" fillId="4" borderId="7" xfId="0" applyNumberFormat="1" applyFill="1" applyBorder="1"/>
    <xf numFmtId="164" fontId="0" fillId="4" borderId="9" xfId="0" applyNumberFormat="1" applyFill="1" applyBorder="1"/>
    <xf numFmtId="164" fontId="0" fillId="4" borderId="14" xfId="0" applyNumberFormat="1" applyFill="1" applyBorder="1"/>
    <xf numFmtId="164" fontId="0" fillId="4" borderId="16" xfId="0" applyNumberFormat="1" applyFill="1" applyBorder="1"/>
    <xf numFmtId="164" fontId="0" fillId="3" borderId="23" xfId="0" applyNumberFormat="1" applyFill="1" applyBorder="1"/>
    <xf numFmtId="164" fontId="0" fillId="3" borderId="24" xfId="0" applyNumberFormat="1" applyFill="1" applyBorder="1"/>
    <xf numFmtId="164" fontId="0" fillId="3" borderId="25" xfId="0" applyNumberFormat="1" applyFill="1" applyBorder="1"/>
    <xf numFmtId="0" fontId="0" fillId="3" borderId="0" xfId="0" applyFill="1" applyBorder="1" applyAlignment="1">
      <alignment vertical="center" textRotation="90" wrapText="1"/>
    </xf>
    <xf numFmtId="0" fontId="0" fillId="5" borderId="0" xfId="0" applyFill="1"/>
    <xf numFmtId="0" fontId="0" fillId="0" borderId="0" xfId="0" applyAlignment="1"/>
    <xf numFmtId="0" fontId="1" fillId="5" borderId="0" xfId="0" applyFont="1" applyFill="1" applyAlignment="1">
      <alignment horizontal="center"/>
    </xf>
    <xf numFmtId="0" fontId="1" fillId="0" borderId="1" xfId="0" applyFont="1" applyBorder="1" applyAlignment="1">
      <alignment horizontal="center" vertical="center" wrapText="1"/>
    </xf>
    <xf numFmtId="0" fontId="0" fillId="0" borderId="0" xfId="0" applyAlignment="1">
      <alignment horizontal="center" vertical="center"/>
    </xf>
    <xf numFmtId="0" fontId="1" fillId="2" borderId="1" xfId="0" applyFont="1" applyFill="1" applyBorder="1" applyAlignment="1">
      <alignment horizontal="center" vertical="center"/>
    </xf>
    <xf numFmtId="0" fontId="0" fillId="2" borderId="0" xfId="0" applyFill="1" applyAlignment="1">
      <alignment horizontal="center" vertical="center"/>
    </xf>
    <xf numFmtId="0" fontId="1" fillId="2" borderId="20" xfId="0" applyFont="1" applyFill="1" applyBorder="1" applyAlignment="1">
      <alignment horizontal="center" vertical="center" wrapText="1"/>
    </xf>
    <xf numFmtId="0" fontId="1" fillId="2" borderId="21" xfId="0" applyFont="1" applyFill="1" applyBorder="1" applyAlignment="1">
      <alignment horizontal="center" vertical="center" wrapText="1"/>
    </xf>
    <xf numFmtId="0" fontId="1" fillId="2" borderId="22" xfId="0" applyFont="1" applyFill="1" applyBorder="1" applyAlignment="1">
      <alignment horizontal="center" vertical="center" wrapText="1"/>
    </xf>
    <xf numFmtId="0" fontId="0" fillId="4" borderId="0" xfId="0" applyFill="1" applyAlignment="1">
      <alignment horizontal="center" vertical="center"/>
    </xf>
    <xf numFmtId="0" fontId="0" fillId="4" borderId="17" xfId="0" applyFill="1" applyBorder="1" applyAlignment="1">
      <alignment horizontal="center" vertical="center"/>
    </xf>
    <xf numFmtId="0" fontId="0" fillId="3" borderId="0" xfId="0" applyFill="1" applyAlignment="1">
      <alignment horizontal="center" vertical="center"/>
    </xf>
    <xf numFmtId="0" fontId="0" fillId="3" borderId="17" xfId="0" applyFill="1" applyBorder="1" applyAlignment="1">
      <alignment horizontal="center" vertical="center"/>
    </xf>
    <xf numFmtId="0" fontId="1" fillId="5" borderId="0" xfId="0" applyFont="1" applyFill="1" applyAlignment="1">
      <alignment horizontal="center" vertical="center"/>
    </xf>
    <xf numFmtId="0" fontId="0" fillId="5" borderId="0" xfId="0" applyFill="1" applyAlignment="1">
      <alignment horizontal="center" vertical="center"/>
    </xf>
    <xf numFmtId="0" fontId="1" fillId="2" borderId="0" xfId="0" applyFont="1" applyFill="1" applyAlignment="1">
      <alignment horizontal="center"/>
    </xf>
    <xf numFmtId="0" fontId="1" fillId="4" borderId="0" xfId="0" applyFont="1" applyFill="1" applyAlignment="1">
      <alignment horizontal="center"/>
    </xf>
    <xf numFmtId="0" fontId="1" fillId="3" borderId="0" xfId="0" applyFont="1" applyFill="1" applyAlignment="1">
      <alignment horizontal="center"/>
    </xf>
    <xf numFmtId="0" fontId="1" fillId="2" borderId="0" xfId="0" applyFont="1" applyFill="1" applyAlignment="1">
      <alignment horizontal="center" vertical="center" wrapText="1"/>
    </xf>
    <xf numFmtId="0" fontId="1" fillId="3" borderId="0" xfId="0" applyFont="1" applyFill="1" applyAlignment="1">
      <alignment horizontal="center" vertical="center" wrapText="1"/>
    </xf>
    <xf numFmtId="0" fontId="1" fillId="5" borderId="0" xfId="0" applyFont="1" applyFill="1" applyAlignment="1">
      <alignment horizontal="center" vertical="center" wrapText="1"/>
    </xf>
    <xf numFmtId="2" fontId="0" fillId="4" borderId="0" xfId="0" applyNumberFormat="1" applyFill="1"/>
    <xf numFmtId="0" fontId="1" fillId="4" borderId="1" xfId="0" applyFont="1" applyFill="1" applyBorder="1" applyAlignment="1">
      <alignment horizontal="center" vertical="center" wrapText="1"/>
    </xf>
    <xf numFmtId="2" fontId="0" fillId="4" borderId="1" xfId="0" applyNumberFormat="1" applyFill="1" applyBorder="1"/>
    <xf numFmtId="0" fontId="1" fillId="3" borderId="1" xfId="0" applyFont="1" applyFill="1" applyBorder="1" applyAlignment="1">
      <alignment horizontal="center" vertical="center"/>
    </xf>
    <xf numFmtId="0" fontId="0" fillId="3" borderId="1" xfId="0" applyFill="1" applyBorder="1"/>
    <xf numFmtId="0" fontId="1" fillId="3" borderId="1" xfId="0" applyFont="1" applyFill="1" applyBorder="1" applyAlignment="1">
      <alignment horizontal="center" vertical="center" wrapText="1"/>
    </xf>
    <xf numFmtId="0" fontId="1" fillId="5" borderId="1" xfId="0" applyFont="1" applyFill="1" applyBorder="1" applyAlignment="1">
      <alignment horizontal="center" vertical="center"/>
    </xf>
    <xf numFmtId="2" fontId="0" fillId="5" borderId="1" xfId="0" applyNumberFormat="1" applyFill="1" applyBorder="1"/>
    <xf numFmtId="0" fontId="1" fillId="0" borderId="0" xfId="0" applyFont="1" applyAlignment="1">
      <alignment horizontal="left" vertical="center"/>
    </xf>
    <xf numFmtId="0" fontId="0" fillId="4" borderId="0" xfId="0" applyFill="1" applyBorder="1" applyAlignment="1">
      <alignment vertical="center" textRotation="90" wrapText="1"/>
    </xf>
    <xf numFmtId="164" fontId="0" fillId="4" borderId="0" xfId="0" applyNumberFormat="1" applyFill="1" applyBorder="1"/>
    <xf numFmtId="0" fontId="1" fillId="2" borderId="0" xfId="0" applyFont="1" applyFill="1" applyAlignment="1">
      <alignment vertical="center" wrapText="1"/>
    </xf>
    <xf numFmtId="0" fontId="1" fillId="2" borderId="0" xfId="0" applyFont="1" applyFill="1" applyAlignment="1">
      <alignment horizontal="left" vertical="center"/>
    </xf>
    <xf numFmtId="0" fontId="1" fillId="2" borderId="0" xfId="0" applyFont="1" applyFill="1" applyAlignment="1">
      <alignment horizontal="center" vertical="center"/>
    </xf>
    <xf numFmtId="2" fontId="0" fillId="2" borderId="0" xfId="0" applyNumberFormat="1" applyFill="1"/>
    <xf numFmtId="0" fontId="0" fillId="2" borderId="27" xfId="0" applyFill="1" applyBorder="1" applyAlignment="1">
      <alignment horizontal="center" vertical="center"/>
    </xf>
    <xf numFmtId="164" fontId="0" fillId="2" borderId="28" xfId="0" applyNumberFormat="1" applyFill="1" applyBorder="1"/>
    <xf numFmtId="164" fontId="0" fillId="2" borderId="29" xfId="0" applyNumberFormat="1" applyFill="1" applyBorder="1"/>
    <xf numFmtId="164" fontId="0" fillId="2" borderId="30" xfId="0" applyNumberFormat="1" applyFill="1" applyBorder="1"/>
    <xf numFmtId="0" fontId="1" fillId="4" borderId="20" xfId="0" applyFont="1" applyFill="1" applyBorder="1" applyAlignment="1">
      <alignment horizontal="center" vertical="center" wrapText="1"/>
    </xf>
    <xf numFmtId="0" fontId="1" fillId="4" borderId="22" xfId="0" applyFont="1" applyFill="1" applyBorder="1" applyAlignment="1">
      <alignment horizontal="center" vertical="center" wrapText="1"/>
    </xf>
    <xf numFmtId="0" fontId="1" fillId="3" borderId="17" xfId="0" applyFont="1" applyFill="1" applyBorder="1" applyAlignment="1">
      <alignment horizontal="center" vertical="center" wrapText="1"/>
    </xf>
    <xf numFmtId="164" fontId="0" fillId="0" borderId="3" xfId="0" applyNumberFormat="1" applyBorder="1"/>
    <xf numFmtId="0" fontId="1" fillId="5" borderId="0" xfId="0" applyFont="1" applyFill="1" applyAlignment="1">
      <alignment horizontal="center"/>
    </xf>
    <xf numFmtId="0" fontId="1" fillId="2" borderId="0" xfId="0" applyFont="1" applyFill="1" applyAlignment="1">
      <alignment horizontal="center"/>
    </xf>
    <xf numFmtId="0" fontId="1" fillId="4" borderId="0" xfId="0" applyFont="1" applyFill="1" applyAlignment="1">
      <alignment horizontal="center"/>
    </xf>
    <xf numFmtId="0" fontId="1" fillId="3" borderId="0" xfId="0" applyFont="1" applyFill="1" applyAlignment="1">
      <alignment horizontal="center"/>
    </xf>
    <xf numFmtId="11" fontId="0" fillId="2" borderId="1" xfId="0" applyNumberFormat="1" applyFill="1" applyBorder="1"/>
    <xf numFmtId="11" fontId="0" fillId="2" borderId="3" xfId="0" applyNumberFormat="1" applyFill="1" applyBorder="1"/>
    <xf numFmtId="11" fontId="0" fillId="2" borderId="31" xfId="0" applyNumberFormat="1" applyFill="1" applyBorder="1"/>
    <xf numFmtId="11" fontId="0" fillId="2" borderId="5" xfId="0" applyNumberFormat="1" applyFill="1" applyBorder="1"/>
    <xf numFmtId="11" fontId="0" fillId="2" borderId="7" xfId="0" applyNumberFormat="1" applyFill="1" applyBorder="1"/>
    <xf numFmtId="11" fontId="0" fillId="2" borderId="9" xfId="0" applyNumberFormat="1" applyFill="1" applyBorder="1"/>
    <xf numFmtId="11" fontId="0" fillId="2" borderId="14" xfId="0" applyNumberFormat="1" applyFill="1" applyBorder="1"/>
    <xf numFmtId="11" fontId="0" fillId="2" borderId="32" xfId="0" applyNumberFormat="1" applyFill="1" applyBorder="1"/>
    <xf numFmtId="11" fontId="0" fillId="2" borderId="16" xfId="0" applyNumberFormat="1" applyFill="1" applyBorder="1"/>
    <xf numFmtId="0" fontId="7" fillId="2" borderId="0" xfId="0" applyFont="1" applyFill="1"/>
    <xf numFmtId="0" fontId="8" fillId="4" borderId="0" xfId="0" applyFont="1" applyFill="1" applyAlignment="1">
      <alignment horizontal="right"/>
    </xf>
    <xf numFmtId="0" fontId="9" fillId="3" borderId="0" xfId="0" applyFont="1" applyFill="1" applyAlignment="1">
      <alignment horizontal="right"/>
    </xf>
    <xf numFmtId="11" fontId="0" fillId="4" borderId="3" xfId="0" applyNumberFormat="1" applyFill="1" applyBorder="1"/>
    <xf numFmtId="11" fontId="0" fillId="4" borderId="5" xfId="0" applyNumberFormat="1" applyFill="1" applyBorder="1"/>
    <xf numFmtId="11" fontId="0" fillId="4" borderId="7" xfId="0" applyNumberFormat="1" applyFill="1" applyBorder="1"/>
    <xf numFmtId="11" fontId="0" fillId="4" borderId="9" xfId="0" applyNumberFormat="1" applyFill="1" applyBorder="1"/>
    <xf numFmtId="11" fontId="0" fillId="4" borderId="14" xfId="0" applyNumberFormat="1" applyFill="1" applyBorder="1"/>
    <xf numFmtId="11" fontId="0" fillId="4" borderId="16" xfId="0" applyNumberFormat="1" applyFill="1" applyBorder="1"/>
    <xf numFmtId="11" fontId="0" fillId="3" borderId="23" xfId="0" applyNumberFormat="1" applyFill="1" applyBorder="1"/>
    <xf numFmtId="11" fontId="0" fillId="3" borderId="26" xfId="0" applyNumberFormat="1" applyFill="1" applyBorder="1"/>
    <xf numFmtId="11" fontId="0" fillId="3" borderId="25" xfId="0" applyNumberFormat="1" applyFill="1" applyBorder="1"/>
    <xf numFmtId="2" fontId="0" fillId="0" borderId="1" xfId="0" applyNumberFormat="1" applyBorder="1"/>
    <xf numFmtId="0" fontId="1" fillId="0" borderId="1" xfId="0" applyFont="1" applyBorder="1"/>
    <xf numFmtId="0" fontId="1" fillId="5" borderId="0" xfId="0" applyFont="1" applyFill="1" applyAlignment="1">
      <alignment horizontal="center"/>
    </xf>
    <xf numFmtId="0" fontId="1" fillId="4" borderId="0" xfId="0" applyFont="1" applyFill="1" applyAlignment="1">
      <alignment horizontal="center" vertical="center" wrapText="1"/>
    </xf>
    <xf numFmtId="0" fontId="1" fillId="4" borderId="0" xfId="0" applyFont="1" applyFill="1" applyAlignment="1">
      <alignment horizontal="center"/>
    </xf>
    <xf numFmtId="0" fontId="1" fillId="0" borderId="0" xfId="0" applyFont="1" applyAlignment="1">
      <alignment horizontal="center"/>
    </xf>
    <xf numFmtId="0" fontId="1" fillId="3" borderId="0" xfId="0" applyFont="1" applyFill="1" applyAlignment="1">
      <alignment horizontal="center"/>
    </xf>
    <xf numFmtId="0" fontId="0" fillId="6" borderId="0" xfId="0" applyFill="1"/>
    <xf numFmtId="0" fontId="0" fillId="6" borderId="0" xfId="0" applyFill="1" applyAlignment="1">
      <alignment horizontal="right"/>
    </xf>
    <xf numFmtId="0" fontId="1" fillId="6" borderId="0" xfId="0" applyFont="1" applyFill="1" applyAlignment="1">
      <alignment horizontal="center"/>
    </xf>
    <xf numFmtId="0" fontId="10" fillId="6" borderId="0" xfId="0" applyFont="1" applyFill="1"/>
    <xf numFmtId="0" fontId="11" fillId="6" borderId="0" xfId="0" applyFont="1" applyFill="1"/>
    <xf numFmtId="2" fontId="0" fillId="3" borderId="1" xfId="0" applyNumberFormat="1" applyFill="1" applyBorder="1"/>
    <xf numFmtId="0" fontId="1" fillId="3" borderId="0" xfId="0" applyFont="1" applyFill="1" applyAlignment="1">
      <alignment vertical="center" wrapText="1"/>
    </xf>
    <xf numFmtId="166" fontId="0" fillId="4" borderId="3" xfId="0" applyNumberFormat="1" applyFill="1" applyBorder="1"/>
    <xf numFmtId="166" fontId="0" fillId="4" borderId="5" xfId="0" applyNumberFormat="1" applyFill="1" applyBorder="1"/>
    <xf numFmtId="166" fontId="0" fillId="4" borderId="7" xfId="0" applyNumberFormat="1" applyFill="1" applyBorder="1"/>
    <xf numFmtId="166" fontId="0" fillId="4" borderId="9" xfId="0" applyNumberFormat="1" applyFill="1" applyBorder="1"/>
    <xf numFmtId="166" fontId="0" fillId="4" borderId="14" xfId="0" applyNumberFormat="1" applyFill="1" applyBorder="1"/>
    <xf numFmtId="166" fontId="0" fillId="4" borderId="16" xfId="0" applyNumberFormat="1" applyFill="1" applyBorder="1"/>
    <xf numFmtId="166" fontId="0" fillId="2" borderId="3" xfId="0" applyNumberFormat="1" applyFill="1" applyBorder="1"/>
    <xf numFmtId="166" fontId="0" fillId="2" borderId="31" xfId="0" applyNumberFormat="1" applyFill="1" applyBorder="1"/>
    <xf numFmtId="166" fontId="0" fillId="2" borderId="5" xfId="0" applyNumberFormat="1" applyFill="1" applyBorder="1"/>
    <xf numFmtId="166" fontId="0" fillId="2" borderId="7" xfId="0" applyNumberFormat="1" applyFill="1" applyBorder="1"/>
    <xf numFmtId="166" fontId="0" fillId="2" borderId="1" xfId="0" applyNumberFormat="1" applyFill="1" applyBorder="1"/>
    <xf numFmtId="166" fontId="0" fillId="2" borderId="9" xfId="0" applyNumberFormat="1" applyFill="1" applyBorder="1"/>
    <xf numFmtId="166" fontId="0" fillId="2" borderId="14" xfId="0" applyNumberFormat="1" applyFill="1" applyBorder="1"/>
    <xf numFmtId="166" fontId="0" fillId="2" borderId="32" xfId="0" applyNumberFormat="1" applyFill="1" applyBorder="1"/>
    <xf numFmtId="166" fontId="0" fillId="2" borderId="16" xfId="0" applyNumberFormat="1" applyFill="1" applyBorder="1"/>
    <xf numFmtId="166" fontId="0" fillId="3" borderId="23" xfId="0" applyNumberFormat="1" applyFill="1" applyBorder="1"/>
    <xf numFmtId="166" fontId="0" fillId="3" borderId="24" xfId="0" applyNumberFormat="1" applyFill="1" applyBorder="1"/>
    <xf numFmtId="166" fontId="0" fillId="3" borderId="25" xfId="0" applyNumberFormat="1" applyFill="1" applyBorder="1"/>
    <xf numFmtId="0" fontId="12" fillId="0" borderId="0" xfId="0" applyFont="1" applyAlignment="1">
      <alignment wrapText="1"/>
    </xf>
    <xf numFmtId="0" fontId="0" fillId="0" borderId="0" xfId="0" applyAlignment="1">
      <alignment wrapText="1"/>
    </xf>
    <xf numFmtId="0" fontId="1" fillId="0" borderId="0" xfId="0" applyFont="1" applyAlignment="1">
      <alignment horizontal="right" vertical="top"/>
    </xf>
    <xf numFmtId="0" fontId="0" fillId="0" borderId="0" xfId="0" applyAlignment="1">
      <alignment vertical="top" wrapText="1"/>
    </xf>
    <xf numFmtId="0" fontId="1" fillId="0" borderId="0" xfId="0" applyFont="1" applyAlignment="1">
      <alignment wrapText="1"/>
    </xf>
    <xf numFmtId="0" fontId="0" fillId="0" borderId="0" xfId="0" applyAlignment="1">
      <alignment horizontal="left"/>
    </xf>
    <xf numFmtId="0" fontId="1" fillId="7" borderId="0" xfId="0" applyFont="1" applyFill="1" applyAlignment="1">
      <alignment horizontal="center"/>
    </xf>
    <xf numFmtId="0" fontId="0" fillId="0" borderId="0" xfId="0" applyAlignment="1">
      <alignment horizontal="center"/>
    </xf>
    <xf numFmtId="0" fontId="0" fillId="3" borderId="2" xfId="0" applyFill="1" applyBorder="1" applyAlignment="1">
      <alignment horizontal="center" vertical="center" textRotation="90" wrapText="1"/>
    </xf>
    <xf numFmtId="0" fontId="0" fillId="3" borderId="6" xfId="0" applyFill="1" applyBorder="1" applyAlignment="1">
      <alignment horizontal="center" vertical="center" textRotation="90" wrapText="1"/>
    </xf>
    <xf numFmtId="0" fontId="0" fillId="3" borderId="13" xfId="0" applyFill="1" applyBorder="1" applyAlignment="1">
      <alignment horizontal="center" vertical="center" textRotation="90" wrapText="1"/>
    </xf>
    <xf numFmtId="0" fontId="0" fillId="2" borderId="27" xfId="0" applyFill="1" applyBorder="1" applyAlignment="1">
      <alignment horizontal="center" vertical="center" textRotation="90" wrapText="1"/>
    </xf>
    <xf numFmtId="0" fontId="0" fillId="2" borderId="18" xfId="0" applyFill="1" applyBorder="1" applyAlignment="1">
      <alignment horizontal="center" vertical="center" textRotation="90" wrapText="1"/>
    </xf>
    <xf numFmtId="0" fontId="0" fillId="2" borderId="19" xfId="0" applyFill="1" applyBorder="1" applyAlignment="1">
      <alignment horizontal="center" vertical="center" textRotation="90" wrapText="1"/>
    </xf>
    <xf numFmtId="0" fontId="0" fillId="4" borderId="27" xfId="0" applyFill="1" applyBorder="1" applyAlignment="1">
      <alignment horizontal="center" vertical="center" textRotation="90" wrapText="1"/>
    </xf>
    <xf numFmtId="0" fontId="0" fillId="4" borderId="18" xfId="0" applyFill="1" applyBorder="1" applyAlignment="1">
      <alignment horizontal="center" vertical="center" textRotation="90" wrapText="1"/>
    </xf>
    <xf numFmtId="0" fontId="0" fillId="4" borderId="19" xfId="0" applyFill="1" applyBorder="1" applyAlignment="1">
      <alignment horizontal="center" vertical="center" textRotation="90" wrapText="1"/>
    </xf>
    <xf numFmtId="0" fontId="0" fillId="2" borderId="2" xfId="0" applyFill="1" applyBorder="1" applyAlignment="1">
      <alignment horizontal="center" vertical="center" textRotation="90" wrapText="1"/>
    </xf>
    <xf numFmtId="0" fontId="0" fillId="2" borderId="6" xfId="0" applyFill="1" applyBorder="1" applyAlignment="1">
      <alignment horizontal="center" vertical="center" textRotation="90" wrapText="1"/>
    </xf>
    <xf numFmtId="0" fontId="0" fillId="2" borderId="13" xfId="0" applyFill="1" applyBorder="1" applyAlignment="1">
      <alignment horizontal="center" vertical="center" textRotation="90" wrapText="1"/>
    </xf>
    <xf numFmtId="0" fontId="1" fillId="2" borderId="0" xfId="0" applyFont="1" applyFill="1" applyAlignment="1">
      <alignment horizontal="center"/>
    </xf>
    <xf numFmtId="0" fontId="1" fillId="4" borderId="0" xfId="0" applyFont="1" applyFill="1" applyAlignment="1">
      <alignment horizontal="center"/>
    </xf>
    <xf numFmtId="0" fontId="1" fillId="2" borderId="0" xfId="0" applyFont="1" applyFill="1" applyAlignment="1">
      <alignment horizontal="center" vertical="center" wrapText="1"/>
    </xf>
    <xf numFmtId="0" fontId="1" fillId="4" borderId="0" xfId="0" applyFont="1" applyFill="1" applyAlignment="1">
      <alignment horizontal="center" vertical="center" wrapText="1"/>
    </xf>
    <xf numFmtId="0" fontId="0" fillId="4" borderId="2" xfId="0" applyFill="1" applyBorder="1" applyAlignment="1">
      <alignment horizontal="center" vertical="center" textRotation="90" wrapText="1"/>
    </xf>
    <xf numFmtId="0" fontId="0" fillId="4" borderId="6" xfId="0" applyFill="1" applyBorder="1" applyAlignment="1">
      <alignment horizontal="center" vertical="center" textRotation="90" wrapText="1"/>
    </xf>
    <xf numFmtId="0" fontId="0" fillId="4" borderId="13" xfId="0" applyFill="1" applyBorder="1" applyAlignment="1">
      <alignment horizontal="center" vertical="center" textRotation="90" wrapText="1"/>
    </xf>
    <xf numFmtId="0" fontId="1" fillId="5" borderId="0" xfId="0" applyFont="1" applyFill="1" applyAlignment="1">
      <alignment horizontal="center"/>
    </xf>
    <xf numFmtId="0" fontId="1" fillId="3" borderId="0" xfId="0" applyFont="1" applyFill="1" applyAlignment="1">
      <alignment horizontal="center"/>
    </xf>
    <xf numFmtId="11" fontId="1" fillId="0" borderId="0" xfId="1" applyNumberFormat="1" applyFont="1" applyAlignment="1">
      <alignment horizontal="right" vertical="center"/>
    </xf>
    <xf numFmtId="11" fontId="1" fillId="0" borderId="0" xfId="0" applyNumberFormat="1" applyFont="1" applyAlignment="1">
      <alignment horizontal="right"/>
    </xf>
    <xf numFmtId="0" fontId="1" fillId="3" borderId="0" xfId="0" applyFont="1" applyFill="1" applyAlignment="1">
      <alignment horizontal="center" vertical="center" wrapText="1"/>
    </xf>
    <xf numFmtId="0" fontId="0" fillId="3" borderId="27" xfId="0" applyFill="1" applyBorder="1" applyAlignment="1">
      <alignment horizontal="center" vertical="center" textRotation="90" wrapText="1"/>
    </xf>
    <xf numFmtId="0" fontId="0" fillId="3" borderId="18" xfId="0" applyFill="1" applyBorder="1" applyAlignment="1">
      <alignment horizontal="center" vertical="center" textRotation="90" wrapText="1"/>
    </xf>
    <xf numFmtId="0" fontId="0" fillId="3" borderId="19" xfId="0" applyFill="1" applyBorder="1" applyAlignment="1">
      <alignment horizontal="center" vertical="center" textRotation="90" wrapText="1"/>
    </xf>
    <xf numFmtId="0" fontId="1" fillId="6" borderId="0" xfId="0" applyFont="1" applyFill="1" applyAlignment="1">
      <alignment horizontal="center"/>
    </xf>
    <xf numFmtId="0" fontId="1" fillId="7" borderId="0" xfId="0" applyFont="1" applyFill="1" applyAlignment="1">
      <alignment horizontal="center"/>
    </xf>
    <xf numFmtId="0" fontId="1" fillId="0" borderId="0" xfId="0" applyFont="1" applyAlignment="1">
      <alignment horizontal="left" wrapText="1"/>
    </xf>
    <xf numFmtId="0" fontId="1" fillId="0" borderId="0" xfId="0" applyFont="1" applyAlignment="1">
      <alignment horizontal="left"/>
    </xf>
    <xf numFmtId="0" fontId="1" fillId="0" borderId="0" xfId="0" applyFont="1" applyAlignment="1">
      <alignment horizontal="right"/>
    </xf>
    <xf numFmtId="0" fontId="1" fillId="0" borderId="0" xfId="0" applyFont="1" applyAlignment="1">
      <alignment horizontal="right" vertical="center"/>
    </xf>
    <xf numFmtId="0" fontId="1" fillId="7" borderId="0" xfId="0" applyFont="1" applyFill="1" applyAlignment="1">
      <alignment horizontal="right"/>
    </xf>
    <xf numFmtId="0" fontId="1" fillId="0" borderId="0" xfId="0" applyFont="1" applyAlignment="1">
      <alignment horizontal="left" vertical="center"/>
    </xf>
    <xf numFmtId="167" fontId="1" fillId="0" borderId="0" xfId="0" applyNumberFormat="1" applyFont="1" applyAlignment="1">
      <alignment horizontal="left" vertical="center"/>
    </xf>
    <xf numFmtId="2" fontId="0" fillId="2" borderId="1" xfId="0" applyNumberFormat="1" applyFill="1" applyBorder="1"/>
    <xf numFmtId="2" fontId="0" fillId="0" borderId="0" xfId="0" applyNumberFormat="1"/>
  </cellXfs>
  <cellStyles count="2">
    <cellStyle name="Normal" xfId="0" builtinId="0"/>
    <cellStyle name="Percent" xfId="1" builtinId="5"/>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5.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4.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chartsheet" Target="chartsheets/sheet3.xml"/><Relationship Id="rId11" Type="http://schemas.openxmlformats.org/officeDocument/2006/relationships/externalLink" Target="externalLinks/externalLink1.xml"/><Relationship Id="rId5" Type="http://schemas.openxmlformats.org/officeDocument/2006/relationships/chartsheet" Target="chartsheets/sheet2.xml"/><Relationship Id="rId15" Type="http://schemas.microsoft.com/office/2017/10/relationships/person" Target="persons/person.xml"/><Relationship Id="rId10" Type="http://schemas.openxmlformats.org/officeDocument/2006/relationships/worksheet" Target="worksheets/sheet7.xml"/><Relationship Id="rId4" Type="http://schemas.openxmlformats.org/officeDocument/2006/relationships/chartsheet" Target="chartsheets/sheet1.xml"/><Relationship Id="rId9" Type="http://schemas.openxmlformats.org/officeDocument/2006/relationships/worksheet" Target="worksheets/sheet6.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result!$B$1</c:f>
              <c:strCache>
                <c:ptCount val="1"/>
                <c:pt idx="0">
                  <c:v>Validation MSE</c:v>
                </c:pt>
              </c:strCache>
            </c:strRef>
          </c:tx>
          <c:spPr>
            <a:ln w="28575" cap="rnd">
              <a:solidFill>
                <a:schemeClr val="accent1"/>
              </a:solidFill>
              <a:round/>
            </a:ln>
            <a:effectLst/>
          </c:spPr>
          <c:marker>
            <c:symbol val="none"/>
          </c:marker>
          <c:val>
            <c:numRef>
              <c:f>result!$B$2:$B$301</c:f>
              <c:numCache>
                <c:formatCode>General</c:formatCode>
                <c:ptCount val="300"/>
              </c:numCache>
            </c:numRef>
          </c:val>
          <c:smooth val="0"/>
          <c:extLst>
            <c:ext xmlns:c16="http://schemas.microsoft.com/office/drawing/2014/chart" uri="{C3380CC4-5D6E-409C-BE32-E72D297353CC}">
              <c16:uniqueId val="{00000000-8896-C94F-AC9E-EBD92992EB7C}"/>
            </c:ext>
          </c:extLst>
        </c:ser>
        <c:ser>
          <c:idx val="1"/>
          <c:order val="1"/>
          <c:tx>
            <c:strRef>
              <c:f>result!$A$1</c:f>
              <c:strCache>
                <c:ptCount val="1"/>
                <c:pt idx="0">
                  <c:v>Training MSE</c:v>
                </c:pt>
              </c:strCache>
            </c:strRef>
          </c:tx>
          <c:spPr>
            <a:ln w="28575" cap="rnd">
              <a:solidFill>
                <a:schemeClr val="accent2"/>
              </a:solidFill>
              <a:round/>
            </a:ln>
            <a:effectLst/>
          </c:spPr>
          <c:marker>
            <c:symbol val="none"/>
          </c:marker>
          <c:val>
            <c:numRef>
              <c:f>result!$A$2:$A$301</c:f>
              <c:numCache>
                <c:formatCode>General</c:formatCode>
                <c:ptCount val="300"/>
              </c:numCache>
            </c:numRef>
          </c:val>
          <c:smooth val="0"/>
          <c:extLst>
            <c:ext xmlns:c16="http://schemas.microsoft.com/office/drawing/2014/chart" uri="{C3380CC4-5D6E-409C-BE32-E72D297353CC}">
              <c16:uniqueId val="{00000000-53E6-E944-BA45-167A21FB1412}"/>
            </c:ext>
          </c:extLst>
        </c:ser>
        <c:dLbls>
          <c:showLegendKey val="0"/>
          <c:showVal val="0"/>
          <c:showCatName val="0"/>
          <c:showSerName val="0"/>
          <c:showPercent val="0"/>
          <c:showBubbleSize val="0"/>
        </c:dLbls>
        <c:smooth val="0"/>
        <c:axId val="1482713376"/>
        <c:axId val="1462357648"/>
      </c:lineChart>
      <c:catAx>
        <c:axId val="14827133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2357648"/>
        <c:crosses val="autoZero"/>
        <c:auto val="1"/>
        <c:lblAlgn val="ctr"/>
        <c:lblOffset val="100"/>
        <c:noMultiLvlLbl val="0"/>
      </c:catAx>
      <c:valAx>
        <c:axId val="1462357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271337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result!$C$1</c:f>
              <c:strCache>
                <c:ptCount val="1"/>
                <c:pt idx="0">
                  <c:v>𝜽110</c:v>
                </c:pt>
              </c:strCache>
            </c:strRef>
          </c:tx>
          <c:spPr>
            <a:ln w="28575" cap="rnd">
              <a:solidFill>
                <a:schemeClr val="accent1"/>
              </a:solidFill>
              <a:round/>
            </a:ln>
            <a:effectLst/>
          </c:spPr>
          <c:marker>
            <c:symbol val="none"/>
          </c:marker>
          <c:val>
            <c:numRef>
              <c:f>result!$C$2:$C$301</c:f>
              <c:numCache>
                <c:formatCode>General</c:formatCode>
                <c:ptCount val="300"/>
              </c:numCache>
            </c:numRef>
          </c:val>
          <c:smooth val="0"/>
          <c:extLst>
            <c:ext xmlns:c16="http://schemas.microsoft.com/office/drawing/2014/chart" uri="{C3380CC4-5D6E-409C-BE32-E72D297353CC}">
              <c16:uniqueId val="{00000000-19D0-B349-BD6F-2B439821A24E}"/>
            </c:ext>
          </c:extLst>
        </c:ser>
        <c:ser>
          <c:idx val="1"/>
          <c:order val="1"/>
          <c:tx>
            <c:strRef>
              <c:f>result!$D$1</c:f>
              <c:strCache>
                <c:ptCount val="1"/>
                <c:pt idx="0">
                  <c:v>𝜽111</c:v>
                </c:pt>
              </c:strCache>
            </c:strRef>
          </c:tx>
          <c:spPr>
            <a:ln w="28575" cap="rnd">
              <a:solidFill>
                <a:schemeClr val="accent2"/>
              </a:solidFill>
              <a:round/>
            </a:ln>
            <a:effectLst/>
          </c:spPr>
          <c:marker>
            <c:symbol val="none"/>
          </c:marker>
          <c:val>
            <c:numRef>
              <c:f>result!$D$2:$D$301</c:f>
              <c:numCache>
                <c:formatCode>General</c:formatCode>
                <c:ptCount val="300"/>
              </c:numCache>
            </c:numRef>
          </c:val>
          <c:smooth val="0"/>
          <c:extLst>
            <c:ext xmlns:c16="http://schemas.microsoft.com/office/drawing/2014/chart" uri="{C3380CC4-5D6E-409C-BE32-E72D297353CC}">
              <c16:uniqueId val="{00000001-19D0-B349-BD6F-2B439821A24E}"/>
            </c:ext>
          </c:extLst>
        </c:ser>
        <c:ser>
          <c:idx val="2"/>
          <c:order val="2"/>
          <c:tx>
            <c:strRef>
              <c:f>result!$E$1</c:f>
              <c:strCache>
                <c:ptCount val="1"/>
                <c:pt idx="0">
                  <c:v>𝜽112</c:v>
                </c:pt>
              </c:strCache>
            </c:strRef>
          </c:tx>
          <c:spPr>
            <a:ln w="28575" cap="rnd">
              <a:solidFill>
                <a:schemeClr val="accent3"/>
              </a:solidFill>
              <a:round/>
            </a:ln>
            <a:effectLst/>
          </c:spPr>
          <c:marker>
            <c:symbol val="none"/>
          </c:marker>
          <c:val>
            <c:numRef>
              <c:f>result!$E$2:$E$301</c:f>
              <c:numCache>
                <c:formatCode>General</c:formatCode>
                <c:ptCount val="300"/>
              </c:numCache>
            </c:numRef>
          </c:val>
          <c:smooth val="0"/>
          <c:extLst>
            <c:ext xmlns:c16="http://schemas.microsoft.com/office/drawing/2014/chart" uri="{C3380CC4-5D6E-409C-BE32-E72D297353CC}">
              <c16:uniqueId val="{00000002-19D0-B349-BD6F-2B439821A24E}"/>
            </c:ext>
          </c:extLst>
        </c:ser>
        <c:ser>
          <c:idx val="3"/>
          <c:order val="3"/>
          <c:tx>
            <c:strRef>
              <c:f>result!$F$1</c:f>
              <c:strCache>
                <c:ptCount val="1"/>
                <c:pt idx="0">
                  <c:v>𝜽113</c:v>
                </c:pt>
              </c:strCache>
            </c:strRef>
          </c:tx>
          <c:spPr>
            <a:ln w="28575" cap="rnd">
              <a:solidFill>
                <a:schemeClr val="accent4"/>
              </a:solidFill>
              <a:round/>
            </a:ln>
            <a:effectLst/>
          </c:spPr>
          <c:marker>
            <c:symbol val="none"/>
          </c:marker>
          <c:val>
            <c:numRef>
              <c:f>result!$F$2:$F$301</c:f>
              <c:numCache>
                <c:formatCode>General</c:formatCode>
                <c:ptCount val="300"/>
              </c:numCache>
            </c:numRef>
          </c:val>
          <c:smooth val="0"/>
          <c:extLst>
            <c:ext xmlns:c16="http://schemas.microsoft.com/office/drawing/2014/chart" uri="{C3380CC4-5D6E-409C-BE32-E72D297353CC}">
              <c16:uniqueId val="{00000003-19D0-B349-BD6F-2B439821A24E}"/>
            </c:ext>
          </c:extLst>
        </c:ser>
        <c:ser>
          <c:idx val="4"/>
          <c:order val="4"/>
          <c:tx>
            <c:strRef>
              <c:f>result!$G$1</c:f>
              <c:strCache>
                <c:ptCount val="1"/>
                <c:pt idx="0">
                  <c:v>𝜽114</c:v>
                </c:pt>
              </c:strCache>
            </c:strRef>
          </c:tx>
          <c:spPr>
            <a:ln w="28575" cap="rnd">
              <a:solidFill>
                <a:schemeClr val="accent5"/>
              </a:solidFill>
              <a:round/>
            </a:ln>
            <a:effectLst/>
          </c:spPr>
          <c:marker>
            <c:symbol val="none"/>
          </c:marker>
          <c:val>
            <c:numRef>
              <c:f>result!$G$2:$G$301</c:f>
              <c:numCache>
                <c:formatCode>General</c:formatCode>
                <c:ptCount val="300"/>
              </c:numCache>
            </c:numRef>
          </c:val>
          <c:smooth val="0"/>
          <c:extLst>
            <c:ext xmlns:c16="http://schemas.microsoft.com/office/drawing/2014/chart" uri="{C3380CC4-5D6E-409C-BE32-E72D297353CC}">
              <c16:uniqueId val="{00000004-19D0-B349-BD6F-2B439821A24E}"/>
            </c:ext>
          </c:extLst>
        </c:ser>
        <c:ser>
          <c:idx val="5"/>
          <c:order val="5"/>
          <c:tx>
            <c:strRef>
              <c:f>result!$H$1</c:f>
              <c:strCache>
                <c:ptCount val="1"/>
                <c:pt idx="0">
                  <c:v>𝜽120</c:v>
                </c:pt>
              </c:strCache>
            </c:strRef>
          </c:tx>
          <c:spPr>
            <a:ln w="28575" cap="rnd">
              <a:solidFill>
                <a:schemeClr val="accent6"/>
              </a:solidFill>
              <a:round/>
            </a:ln>
            <a:effectLst/>
          </c:spPr>
          <c:marker>
            <c:symbol val="none"/>
          </c:marker>
          <c:val>
            <c:numRef>
              <c:f>result!$H$2:$H$301</c:f>
              <c:numCache>
                <c:formatCode>General</c:formatCode>
                <c:ptCount val="300"/>
              </c:numCache>
            </c:numRef>
          </c:val>
          <c:smooth val="0"/>
          <c:extLst>
            <c:ext xmlns:c16="http://schemas.microsoft.com/office/drawing/2014/chart" uri="{C3380CC4-5D6E-409C-BE32-E72D297353CC}">
              <c16:uniqueId val="{00000005-19D0-B349-BD6F-2B439821A24E}"/>
            </c:ext>
          </c:extLst>
        </c:ser>
        <c:ser>
          <c:idx val="6"/>
          <c:order val="6"/>
          <c:tx>
            <c:strRef>
              <c:f>result!$I$1</c:f>
              <c:strCache>
                <c:ptCount val="1"/>
                <c:pt idx="0">
                  <c:v>𝜽121</c:v>
                </c:pt>
              </c:strCache>
            </c:strRef>
          </c:tx>
          <c:spPr>
            <a:ln w="28575" cap="rnd">
              <a:solidFill>
                <a:schemeClr val="accent1">
                  <a:lumMod val="60000"/>
                </a:schemeClr>
              </a:solidFill>
              <a:round/>
            </a:ln>
            <a:effectLst/>
          </c:spPr>
          <c:marker>
            <c:symbol val="none"/>
          </c:marker>
          <c:val>
            <c:numRef>
              <c:f>result!$I$2:$I$301</c:f>
              <c:numCache>
                <c:formatCode>General</c:formatCode>
                <c:ptCount val="300"/>
              </c:numCache>
            </c:numRef>
          </c:val>
          <c:smooth val="0"/>
          <c:extLst>
            <c:ext xmlns:c16="http://schemas.microsoft.com/office/drawing/2014/chart" uri="{C3380CC4-5D6E-409C-BE32-E72D297353CC}">
              <c16:uniqueId val="{00000006-19D0-B349-BD6F-2B439821A24E}"/>
            </c:ext>
          </c:extLst>
        </c:ser>
        <c:ser>
          <c:idx val="7"/>
          <c:order val="7"/>
          <c:tx>
            <c:strRef>
              <c:f>result!$J$1</c:f>
              <c:strCache>
                <c:ptCount val="1"/>
                <c:pt idx="0">
                  <c:v>𝜽122</c:v>
                </c:pt>
              </c:strCache>
            </c:strRef>
          </c:tx>
          <c:spPr>
            <a:ln w="28575" cap="rnd">
              <a:solidFill>
                <a:schemeClr val="accent2">
                  <a:lumMod val="60000"/>
                </a:schemeClr>
              </a:solidFill>
              <a:round/>
            </a:ln>
            <a:effectLst/>
          </c:spPr>
          <c:marker>
            <c:symbol val="none"/>
          </c:marker>
          <c:val>
            <c:numRef>
              <c:f>result!$J$2:$J$301</c:f>
              <c:numCache>
                <c:formatCode>General</c:formatCode>
                <c:ptCount val="300"/>
              </c:numCache>
            </c:numRef>
          </c:val>
          <c:smooth val="0"/>
          <c:extLst>
            <c:ext xmlns:c16="http://schemas.microsoft.com/office/drawing/2014/chart" uri="{C3380CC4-5D6E-409C-BE32-E72D297353CC}">
              <c16:uniqueId val="{00000007-19D0-B349-BD6F-2B439821A24E}"/>
            </c:ext>
          </c:extLst>
        </c:ser>
        <c:ser>
          <c:idx val="8"/>
          <c:order val="8"/>
          <c:tx>
            <c:strRef>
              <c:f>result!$K$1</c:f>
              <c:strCache>
                <c:ptCount val="1"/>
                <c:pt idx="0">
                  <c:v>𝜽123</c:v>
                </c:pt>
              </c:strCache>
            </c:strRef>
          </c:tx>
          <c:spPr>
            <a:ln w="28575" cap="rnd">
              <a:solidFill>
                <a:schemeClr val="accent3">
                  <a:lumMod val="60000"/>
                </a:schemeClr>
              </a:solidFill>
              <a:round/>
            </a:ln>
            <a:effectLst/>
          </c:spPr>
          <c:marker>
            <c:symbol val="none"/>
          </c:marker>
          <c:val>
            <c:numRef>
              <c:f>result!$K$2:$K$301</c:f>
              <c:numCache>
                <c:formatCode>General</c:formatCode>
                <c:ptCount val="300"/>
              </c:numCache>
            </c:numRef>
          </c:val>
          <c:smooth val="0"/>
          <c:extLst>
            <c:ext xmlns:c16="http://schemas.microsoft.com/office/drawing/2014/chart" uri="{C3380CC4-5D6E-409C-BE32-E72D297353CC}">
              <c16:uniqueId val="{00000008-19D0-B349-BD6F-2B439821A24E}"/>
            </c:ext>
          </c:extLst>
        </c:ser>
        <c:ser>
          <c:idx val="9"/>
          <c:order val="9"/>
          <c:tx>
            <c:strRef>
              <c:f>result!$L$1</c:f>
              <c:strCache>
                <c:ptCount val="1"/>
                <c:pt idx="0">
                  <c:v>𝜽124</c:v>
                </c:pt>
              </c:strCache>
            </c:strRef>
          </c:tx>
          <c:spPr>
            <a:ln w="28575" cap="rnd">
              <a:solidFill>
                <a:schemeClr val="accent4">
                  <a:lumMod val="60000"/>
                </a:schemeClr>
              </a:solidFill>
              <a:round/>
            </a:ln>
            <a:effectLst/>
          </c:spPr>
          <c:marker>
            <c:symbol val="none"/>
          </c:marker>
          <c:val>
            <c:numRef>
              <c:f>result!$L$2:$L$301</c:f>
              <c:numCache>
                <c:formatCode>General</c:formatCode>
                <c:ptCount val="300"/>
              </c:numCache>
            </c:numRef>
          </c:val>
          <c:smooth val="0"/>
          <c:extLst>
            <c:ext xmlns:c16="http://schemas.microsoft.com/office/drawing/2014/chart" uri="{C3380CC4-5D6E-409C-BE32-E72D297353CC}">
              <c16:uniqueId val="{00000009-19D0-B349-BD6F-2B439821A24E}"/>
            </c:ext>
          </c:extLst>
        </c:ser>
        <c:ser>
          <c:idx val="10"/>
          <c:order val="10"/>
          <c:tx>
            <c:strRef>
              <c:f>result!$M$1</c:f>
              <c:strCache>
                <c:ptCount val="1"/>
                <c:pt idx="0">
                  <c:v>𝜽130</c:v>
                </c:pt>
              </c:strCache>
            </c:strRef>
          </c:tx>
          <c:spPr>
            <a:ln w="28575" cap="rnd">
              <a:solidFill>
                <a:schemeClr val="accent5">
                  <a:lumMod val="60000"/>
                </a:schemeClr>
              </a:solidFill>
              <a:round/>
            </a:ln>
            <a:effectLst/>
          </c:spPr>
          <c:marker>
            <c:symbol val="none"/>
          </c:marker>
          <c:val>
            <c:numRef>
              <c:f>result!$M$2:$M$301</c:f>
              <c:numCache>
                <c:formatCode>General</c:formatCode>
                <c:ptCount val="300"/>
              </c:numCache>
            </c:numRef>
          </c:val>
          <c:smooth val="0"/>
          <c:extLst>
            <c:ext xmlns:c16="http://schemas.microsoft.com/office/drawing/2014/chart" uri="{C3380CC4-5D6E-409C-BE32-E72D297353CC}">
              <c16:uniqueId val="{0000000A-19D0-B349-BD6F-2B439821A24E}"/>
            </c:ext>
          </c:extLst>
        </c:ser>
        <c:ser>
          <c:idx val="11"/>
          <c:order val="11"/>
          <c:tx>
            <c:strRef>
              <c:f>result!$N$1</c:f>
              <c:strCache>
                <c:ptCount val="1"/>
                <c:pt idx="0">
                  <c:v>𝜽131</c:v>
                </c:pt>
              </c:strCache>
            </c:strRef>
          </c:tx>
          <c:spPr>
            <a:ln w="28575" cap="rnd">
              <a:solidFill>
                <a:schemeClr val="accent6">
                  <a:lumMod val="60000"/>
                </a:schemeClr>
              </a:solidFill>
              <a:round/>
            </a:ln>
            <a:effectLst/>
          </c:spPr>
          <c:marker>
            <c:symbol val="none"/>
          </c:marker>
          <c:val>
            <c:numRef>
              <c:f>result!$N$2:$N$301</c:f>
              <c:numCache>
                <c:formatCode>General</c:formatCode>
                <c:ptCount val="300"/>
              </c:numCache>
            </c:numRef>
          </c:val>
          <c:smooth val="0"/>
          <c:extLst>
            <c:ext xmlns:c16="http://schemas.microsoft.com/office/drawing/2014/chart" uri="{C3380CC4-5D6E-409C-BE32-E72D297353CC}">
              <c16:uniqueId val="{0000000B-19D0-B349-BD6F-2B439821A24E}"/>
            </c:ext>
          </c:extLst>
        </c:ser>
        <c:ser>
          <c:idx val="12"/>
          <c:order val="12"/>
          <c:tx>
            <c:strRef>
              <c:f>result!$O$1</c:f>
              <c:strCache>
                <c:ptCount val="1"/>
                <c:pt idx="0">
                  <c:v>𝜽132</c:v>
                </c:pt>
              </c:strCache>
            </c:strRef>
          </c:tx>
          <c:spPr>
            <a:ln w="28575" cap="rnd">
              <a:solidFill>
                <a:schemeClr val="accent1">
                  <a:lumMod val="80000"/>
                  <a:lumOff val="20000"/>
                </a:schemeClr>
              </a:solidFill>
              <a:round/>
            </a:ln>
            <a:effectLst/>
          </c:spPr>
          <c:marker>
            <c:symbol val="none"/>
          </c:marker>
          <c:val>
            <c:numRef>
              <c:f>result!$O$2:$O$301</c:f>
              <c:numCache>
                <c:formatCode>General</c:formatCode>
                <c:ptCount val="300"/>
              </c:numCache>
            </c:numRef>
          </c:val>
          <c:smooth val="0"/>
          <c:extLst>
            <c:ext xmlns:c16="http://schemas.microsoft.com/office/drawing/2014/chart" uri="{C3380CC4-5D6E-409C-BE32-E72D297353CC}">
              <c16:uniqueId val="{0000000C-19D0-B349-BD6F-2B439821A24E}"/>
            </c:ext>
          </c:extLst>
        </c:ser>
        <c:ser>
          <c:idx val="13"/>
          <c:order val="13"/>
          <c:tx>
            <c:strRef>
              <c:f>result!$P$1</c:f>
              <c:strCache>
                <c:ptCount val="1"/>
                <c:pt idx="0">
                  <c:v>𝜽133</c:v>
                </c:pt>
              </c:strCache>
            </c:strRef>
          </c:tx>
          <c:spPr>
            <a:ln w="28575" cap="rnd">
              <a:solidFill>
                <a:schemeClr val="accent2">
                  <a:lumMod val="80000"/>
                  <a:lumOff val="20000"/>
                </a:schemeClr>
              </a:solidFill>
              <a:round/>
            </a:ln>
            <a:effectLst/>
          </c:spPr>
          <c:marker>
            <c:symbol val="none"/>
          </c:marker>
          <c:val>
            <c:numRef>
              <c:f>result!$P$2:$P$301</c:f>
              <c:numCache>
                <c:formatCode>General</c:formatCode>
                <c:ptCount val="300"/>
              </c:numCache>
            </c:numRef>
          </c:val>
          <c:smooth val="0"/>
          <c:extLst>
            <c:ext xmlns:c16="http://schemas.microsoft.com/office/drawing/2014/chart" uri="{C3380CC4-5D6E-409C-BE32-E72D297353CC}">
              <c16:uniqueId val="{0000000D-19D0-B349-BD6F-2B439821A24E}"/>
            </c:ext>
          </c:extLst>
        </c:ser>
        <c:ser>
          <c:idx val="14"/>
          <c:order val="14"/>
          <c:tx>
            <c:strRef>
              <c:f>result!$Q$1</c:f>
              <c:strCache>
                <c:ptCount val="1"/>
                <c:pt idx="0">
                  <c:v>𝜽134</c:v>
                </c:pt>
              </c:strCache>
            </c:strRef>
          </c:tx>
          <c:spPr>
            <a:ln w="28575" cap="rnd">
              <a:solidFill>
                <a:schemeClr val="accent3">
                  <a:lumMod val="80000"/>
                  <a:lumOff val="20000"/>
                </a:schemeClr>
              </a:solidFill>
              <a:round/>
            </a:ln>
            <a:effectLst/>
          </c:spPr>
          <c:marker>
            <c:symbol val="none"/>
          </c:marker>
          <c:val>
            <c:numRef>
              <c:f>result!$Q$2:$Q$301</c:f>
              <c:numCache>
                <c:formatCode>General</c:formatCode>
                <c:ptCount val="300"/>
              </c:numCache>
            </c:numRef>
          </c:val>
          <c:smooth val="0"/>
          <c:extLst>
            <c:ext xmlns:c16="http://schemas.microsoft.com/office/drawing/2014/chart" uri="{C3380CC4-5D6E-409C-BE32-E72D297353CC}">
              <c16:uniqueId val="{0000000E-19D0-B349-BD6F-2B439821A24E}"/>
            </c:ext>
          </c:extLst>
        </c:ser>
        <c:ser>
          <c:idx val="15"/>
          <c:order val="15"/>
          <c:tx>
            <c:strRef>
              <c:f>result!$R$1</c:f>
              <c:strCache>
                <c:ptCount val="1"/>
                <c:pt idx="0">
                  <c:v>𝜽210</c:v>
                </c:pt>
              </c:strCache>
            </c:strRef>
          </c:tx>
          <c:spPr>
            <a:ln w="28575" cap="rnd">
              <a:solidFill>
                <a:schemeClr val="accent4">
                  <a:lumMod val="80000"/>
                  <a:lumOff val="20000"/>
                </a:schemeClr>
              </a:solidFill>
              <a:round/>
            </a:ln>
            <a:effectLst/>
          </c:spPr>
          <c:marker>
            <c:symbol val="none"/>
          </c:marker>
          <c:val>
            <c:numRef>
              <c:f>result!$R$2:$R$301</c:f>
              <c:numCache>
                <c:formatCode>General</c:formatCode>
                <c:ptCount val="300"/>
              </c:numCache>
            </c:numRef>
          </c:val>
          <c:smooth val="0"/>
          <c:extLst>
            <c:ext xmlns:c16="http://schemas.microsoft.com/office/drawing/2014/chart" uri="{C3380CC4-5D6E-409C-BE32-E72D297353CC}">
              <c16:uniqueId val="{0000000F-19D0-B349-BD6F-2B439821A24E}"/>
            </c:ext>
          </c:extLst>
        </c:ser>
        <c:ser>
          <c:idx val="16"/>
          <c:order val="16"/>
          <c:tx>
            <c:strRef>
              <c:f>result!$S$1</c:f>
              <c:strCache>
                <c:ptCount val="1"/>
                <c:pt idx="0">
                  <c:v>𝜽211</c:v>
                </c:pt>
              </c:strCache>
            </c:strRef>
          </c:tx>
          <c:spPr>
            <a:ln w="28575" cap="rnd">
              <a:solidFill>
                <a:schemeClr val="accent5">
                  <a:lumMod val="80000"/>
                  <a:lumOff val="20000"/>
                </a:schemeClr>
              </a:solidFill>
              <a:round/>
            </a:ln>
            <a:effectLst/>
          </c:spPr>
          <c:marker>
            <c:symbol val="none"/>
          </c:marker>
          <c:val>
            <c:numRef>
              <c:f>result!$S$2:$S$301</c:f>
              <c:numCache>
                <c:formatCode>General</c:formatCode>
                <c:ptCount val="300"/>
              </c:numCache>
            </c:numRef>
          </c:val>
          <c:smooth val="0"/>
          <c:extLst>
            <c:ext xmlns:c16="http://schemas.microsoft.com/office/drawing/2014/chart" uri="{C3380CC4-5D6E-409C-BE32-E72D297353CC}">
              <c16:uniqueId val="{00000010-19D0-B349-BD6F-2B439821A24E}"/>
            </c:ext>
          </c:extLst>
        </c:ser>
        <c:ser>
          <c:idx val="17"/>
          <c:order val="17"/>
          <c:tx>
            <c:strRef>
              <c:f>result!$T$1</c:f>
              <c:strCache>
                <c:ptCount val="1"/>
                <c:pt idx="0">
                  <c:v>𝜽212</c:v>
                </c:pt>
              </c:strCache>
            </c:strRef>
          </c:tx>
          <c:spPr>
            <a:ln w="28575" cap="rnd">
              <a:solidFill>
                <a:schemeClr val="accent6">
                  <a:lumMod val="80000"/>
                  <a:lumOff val="20000"/>
                </a:schemeClr>
              </a:solidFill>
              <a:round/>
            </a:ln>
            <a:effectLst/>
          </c:spPr>
          <c:marker>
            <c:symbol val="none"/>
          </c:marker>
          <c:val>
            <c:numRef>
              <c:f>result!$T$2:$T$301</c:f>
              <c:numCache>
                <c:formatCode>General</c:formatCode>
                <c:ptCount val="300"/>
              </c:numCache>
            </c:numRef>
          </c:val>
          <c:smooth val="0"/>
          <c:extLst>
            <c:ext xmlns:c16="http://schemas.microsoft.com/office/drawing/2014/chart" uri="{C3380CC4-5D6E-409C-BE32-E72D297353CC}">
              <c16:uniqueId val="{00000011-19D0-B349-BD6F-2B439821A24E}"/>
            </c:ext>
          </c:extLst>
        </c:ser>
        <c:ser>
          <c:idx val="18"/>
          <c:order val="18"/>
          <c:tx>
            <c:strRef>
              <c:f>result!$U$1</c:f>
              <c:strCache>
                <c:ptCount val="1"/>
                <c:pt idx="0">
                  <c:v>𝜽213</c:v>
                </c:pt>
              </c:strCache>
            </c:strRef>
          </c:tx>
          <c:spPr>
            <a:ln w="28575" cap="rnd">
              <a:solidFill>
                <a:schemeClr val="accent1">
                  <a:lumMod val="80000"/>
                </a:schemeClr>
              </a:solidFill>
              <a:round/>
            </a:ln>
            <a:effectLst/>
          </c:spPr>
          <c:marker>
            <c:symbol val="none"/>
          </c:marker>
          <c:val>
            <c:numRef>
              <c:f>result!$U$2:$U$301</c:f>
              <c:numCache>
                <c:formatCode>General</c:formatCode>
                <c:ptCount val="300"/>
              </c:numCache>
            </c:numRef>
          </c:val>
          <c:smooth val="0"/>
          <c:extLst>
            <c:ext xmlns:c16="http://schemas.microsoft.com/office/drawing/2014/chart" uri="{C3380CC4-5D6E-409C-BE32-E72D297353CC}">
              <c16:uniqueId val="{00000012-19D0-B349-BD6F-2B439821A24E}"/>
            </c:ext>
          </c:extLst>
        </c:ser>
        <c:ser>
          <c:idx val="19"/>
          <c:order val="19"/>
          <c:tx>
            <c:strRef>
              <c:f>result!$V$1</c:f>
              <c:strCache>
                <c:ptCount val="1"/>
                <c:pt idx="0">
                  <c:v>𝜽220</c:v>
                </c:pt>
              </c:strCache>
            </c:strRef>
          </c:tx>
          <c:spPr>
            <a:ln w="28575" cap="rnd">
              <a:solidFill>
                <a:schemeClr val="accent2">
                  <a:lumMod val="80000"/>
                </a:schemeClr>
              </a:solidFill>
              <a:round/>
            </a:ln>
            <a:effectLst/>
          </c:spPr>
          <c:marker>
            <c:symbol val="none"/>
          </c:marker>
          <c:val>
            <c:numRef>
              <c:f>result!$V$2:$V$301</c:f>
              <c:numCache>
                <c:formatCode>General</c:formatCode>
                <c:ptCount val="300"/>
              </c:numCache>
            </c:numRef>
          </c:val>
          <c:smooth val="0"/>
          <c:extLst>
            <c:ext xmlns:c16="http://schemas.microsoft.com/office/drawing/2014/chart" uri="{C3380CC4-5D6E-409C-BE32-E72D297353CC}">
              <c16:uniqueId val="{00000013-19D0-B349-BD6F-2B439821A24E}"/>
            </c:ext>
          </c:extLst>
        </c:ser>
        <c:ser>
          <c:idx val="20"/>
          <c:order val="20"/>
          <c:tx>
            <c:strRef>
              <c:f>result!$W$1</c:f>
              <c:strCache>
                <c:ptCount val="1"/>
                <c:pt idx="0">
                  <c:v>𝜽221</c:v>
                </c:pt>
              </c:strCache>
            </c:strRef>
          </c:tx>
          <c:spPr>
            <a:ln w="28575" cap="rnd">
              <a:solidFill>
                <a:schemeClr val="accent3">
                  <a:lumMod val="80000"/>
                </a:schemeClr>
              </a:solidFill>
              <a:round/>
            </a:ln>
            <a:effectLst/>
          </c:spPr>
          <c:marker>
            <c:symbol val="none"/>
          </c:marker>
          <c:val>
            <c:numRef>
              <c:f>result!$W$2:$W$301</c:f>
              <c:numCache>
                <c:formatCode>General</c:formatCode>
                <c:ptCount val="300"/>
              </c:numCache>
            </c:numRef>
          </c:val>
          <c:smooth val="0"/>
          <c:extLst>
            <c:ext xmlns:c16="http://schemas.microsoft.com/office/drawing/2014/chart" uri="{C3380CC4-5D6E-409C-BE32-E72D297353CC}">
              <c16:uniqueId val="{00000014-19D0-B349-BD6F-2B439821A24E}"/>
            </c:ext>
          </c:extLst>
        </c:ser>
        <c:ser>
          <c:idx val="21"/>
          <c:order val="21"/>
          <c:tx>
            <c:strRef>
              <c:f>result!$X$1</c:f>
              <c:strCache>
                <c:ptCount val="1"/>
                <c:pt idx="0">
                  <c:v>𝜽222</c:v>
                </c:pt>
              </c:strCache>
            </c:strRef>
          </c:tx>
          <c:spPr>
            <a:ln w="28575" cap="rnd">
              <a:solidFill>
                <a:schemeClr val="accent4">
                  <a:lumMod val="80000"/>
                </a:schemeClr>
              </a:solidFill>
              <a:round/>
            </a:ln>
            <a:effectLst/>
          </c:spPr>
          <c:marker>
            <c:symbol val="none"/>
          </c:marker>
          <c:val>
            <c:numRef>
              <c:f>result!$X$2:$X$301</c:f>
              <c:numCache>
                <c:formatCode>General</c:formatCode>
                <c:ptCount val="300"/>
              </c:numCache>
            </c:numRef>
          </c:val>
          <c:smooth val="0"/>
          <c:extLst>
            <c:ext xmlns:c16="http://schemas.microsoft.com/office/drawing/2014/chart" uri="{C3380CC4-5D6E-409C-BE32-E72D297353CC}">
              <c16:uniqueId val="{00000015-19D0-B349-BD6F-2B439821A24E}"/>
            </c:ext>
          </c:extLst>
        </c:ser>
        <c:ser>
          <c:idx val="22"/>
          <c:order val="22"/>
          <c:tx>
            <c:strRef>
              <c:f>result!$Y$1</c:f>
              <c:strCache>
                <c:ptCount val="1"/>
                <c:pt idx="0">
                  <c:v>𝜽223</c:v>
                </c:pt>
              </c:strCache>
            </c:strRef>
          </c:tx>
          <c:spPr>
            <a:ln w="28575" cap="rnd">
              <a:solidFill>
                <a:schemeClr val="accent5">
                  <a:lumMod val="80000"/>
                </a:schemeClr>
              </a:solidFill>
              <a:round/>
            </a:ln>
            <a:effectLst/>
          </c:spPr>
          <c:marker>
            <c:symbol val="none"/>
          </c:marker>
          <c:val>
            <c:numRef>
              <c:f>result!$Y$2:$Y$301</c:f>
              <c:numCache>
                <c:formatCode>General</c:formatCode>
                <c:ptCount val="300"/>
              </c:numCache>
            </c:numRef>
          </c:val>
          <c:smooth val="0"/>
          <c:extLst>
            <c:ext xmlns:c16="http://schemas.microsoft.com/office/drawing/2014/chart" uri="{C3380CC4-5D6E-409C-BE32-E72D297353CC}">
              <c16:uniqueId val="{00000016-19D0-B349-BD6F-2B439821A24E}"/>
            </c:ext>
          </c:extLst>
        </c:ser>
        <c:ser>
          <c:idx val="23"/>
          <c:order val="23"/>
          <c:tx>
            <c:strRef>
              <c:f>result!$Z$1</c:f>
              <c:strCache>
                <c:ptCount val="1"/>
                <c:pt idx="0">
                  <c:v>𝜽310</c:v>
                </c:pt>
              </c:strCache>
            </c:strRef>
          </c:tx>
          <c:spPr>
            <a:ln w="28575" cap="rnd">
              <a:solidFill>
                <a:schemeClr val="accent6">
                  <a:lumMod val="80000"/>
                </a:schemeClr>
              </a:solidFill>
              <a:round/>
            </a:ln>
            <a:effectLst/>
          </c:spPr>
          <c:marker>
            <c:symbol val="none"/>
          </c:marker>
          <c:val>
            <c:numRef>
              <c:f>result!$Z$2:$Z$301</c:f>
              <c:numCache>
                <c:formatCode>General</c:formatCode>
                <c:ptCount val="300"/>
              </c:numCache>
            </c:numRef>
          </c:val>
          <c:smooth val="0"/>
          <c:extLst>
            <c:ext xmlns:c16="http://schemas.microsoft.com/office/drawing/2014/chart" uri="{C3380CC4-5D6E-409C-BE32-E72D297353CC}">
              <c16:uniqueId val="{00000017-19D0-B349-BD6F-2B439821A24E}"/>
            </c:ext>
          </c:extLst>
        </c:ser>
        <c:ser>
          <c:idx val="24"/>
          <c:order val="24"/>
          <c:tx>
            <c:strRef>
              <c:f>result!$AA$1</c:f>
              <c:strCache>
                <c:ptCount val="1"/>
                <c:pt idx="0">
                  <c:v>𝜽311</c:v>
                </c:pt>
              </c:strCache>
            </c:strRef>
          </c:tx>
          <c:spPr>
            <a:ln w="28575" cap="rnd">
              <a:solidFill>
                <a:schemeClr val="accent1">
                  <a:lumMod val="60000"/>
                  <a:lumOff val="40000"/>
                </a:schemeClr>
              </a:solidFill>
              <a:round/>
            </a:ln>
            <a:effectLst/>
          </c:spPr>
          <c:marker>
            <c:symbol val="none"/>
          </c:marker>
          <c:val>
            <c:numRef>
              <c:f>result!$AA$2:$AA$301</c:f>
              <c:numCache>
                <c:formatCode>General</c:formatCode>
                <c:ptCount val="300"/>
              </c:numCache>
            </c:numRef>
          </c:val>
          <c:smooth val="0"/>
          <c:extLst>
            <c:ext xmlns:c16="http://schemas.microsoft.com/office/drawing/2014/chart" uri="{C3380CC4-5D6E-409C-BE32-E72D297353CC}">
              <c16:uniqueId val="{00000018-19D0-B349-BD6F-2B439821A24E}"/>
            </c:ext>
          </c:extLst>
        </c:ser>
        <c:ser>
          <c:idx val="25"/>
          <c:order val="25"/>
          <c:tx>
            <c:strRef>
              <c:f>result!$AB$1</c:f>
              <c:strCache>
                <c:ptCount val="1"/>
                <c:pt idx="0">
                  <c:v>𝜽312</c:v>
                </c:pt>
              </c:strCache>
            </c:strRef>
          </c:tx>
          <c:spPr>
            <a:ln w="28575" cap="rnd">
              <a:solidFill>
                <a:schemeClr val="accent2">
                  <a:lumMod val="60000"/>
                  <a:lumOff val="40000"/>
                </a:schemeClr>
              </a:solidFill>
              <a:round/>
            </a:ln>
            <a:effectLst/>
          </c:spPr>
          <c:marker>
            <c:symbol val="none"/>
          </c:marker>
          <c:val>
            <c:numRef>
              <c:f>result!$AB$2:$AB$301</c:f>
              <c:numCache>
                <c:formatCode>General</c:formatCode>
                <c:ptCount val="300"/>
              </c:numCache>
            </c:numRef>
          </c:val>
          <c:smooth val="0"/>
          <c:extLst>
            <c:ext xmlns:c16="http://schemas.microsoft.com/office/drawing/2014/chart" uri="{C3380CC4-5D6E-409C-BE32-E72D297353CC}">
              <c16:uniqueId val="{00000019-19D0-B349-BD6F-2B439821A24E}"/>
            </c:ext>
          </c:extLst>
        </c:ser>
        <c:dLbls>
          <c:showLegendKey val="0"/>
          <c:showVal val="0"/>
          <c:showCatName val="0"/>
          <c:showSerName val="0"/>
          <c:showPercent val="0"/>
          <c:showBubbleSize val="0"/>
        </c:dLbls>
        <c:smooth val="0"/>
        <c:axId val="738391136"/>
        <c:axId val="739045936"/>
      </c:lineChart>
      <c:catAx>
        <c:axId val="7383911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9045936"/>
        <c:crosses val="autoZero"/>
        <c:auto val="1"/>
        <c:lblAlgn val="ctr"/>
        <c:lblOffset val="100"/>
        <c:noMultiLvlLbl val="0"/>
      </c:catAx>
      <c:valAx>
        <c:axId val="739045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391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neural_net!$G$116:$G$165</c:f>
              <c:numCache>
                <c:formatCode>0.00</c:formatCode>
                <c:ptCount val="50"/>
                <c:pt idx="0">
                  <c:v>9.0666287076306348E-2</c:v>
                </c:pt>
                <c:pt idx="1">
                  <c:v>0.34778847644277372</c:v>
                </c:pt>
                <c:pt idx="2">
                  <c:v>1.0906964608094968E-32</c:v>
                </c:pt>
                <c:pt idx="3">
                  <c:v>6.3907585277051038E-2</c:v>
                </c:pt>
                <c:pt idx="4">
                  <c:v>0.6150807188113232</c:v>
                </c:pt>
                <c:pt idx="5">
                  <c:v>0.27805399466213682</c:v>
                </c:pt>
                <c:pt idx="6">
                  <c:v>4.8833489885722709E-3</c:v>
                </c:pt>
                <c:pt idx="7">
                  <c:v>0.99267532386982071</c:v>
                </c:pt>
                <c:pt idx="8">
                  <c:v>0.93598704948804212</c:v>
                </c:pt>
                <c:pt idx="9">
                  <c:v>0.99999999958323915</c:v>
                </c:pt>
                <c:pt idx="10">
                  <c:v>0.99999999999998979</c:v>
                </c:pt>
                <c:pt idx="11">
                  <c:v>0.19568649637552538</c:v>
                </c:pt>
                <c:pt idx="12">
                  <c:v>0.37176702187627764</c:v>
                </c:pt>
                <c:pt idx="13">
                  <c:v>0.51445894515334523</c:v>
                </c:pt>
                <c:pt idx="14">
                  <c:v>0.99979073204873581</c:v>
                </c:pt>
                <c:pt idx="15">
                  <c:v>1.0080660290437429E-2</c:v>
                </c:pt>
                <c:pt idx="16">
                  <c:v>5.4728301280157612E-2</c:v>
                </c:pt>
                <c:pt idx="17">
                  <c:v>3.6287583426980242E-3</c:v>
                </c:pt>
                <c:pt idx="18">
                  <c:v>0.82991218062858874</c:v>
                </c:pt>
                <c:pt idx="19">
                  <c:v>6.2198116064111073E-4</c:v>
                </c:pt>
                <c:pt idx="20">
                  <c:v>5.3120614152840957E-7</c:v>
                </c:pt>
                <c:pt idx="21">
                  <c:v>0.11905575692206836</c:v>
                </c:pt>
                <c:pt idx="22">
                  <c:v>0.14946628182467331</c:v>
                </c:pt>
                <c:pt idx="23">
                  <c:v>0.99946618822187827</c:v>
                </c:pt>
                <c:pt idx="24">
                  <c:v>0.94911704197962621</c:v>
                </c:pt>
                <c:pt idx="25">
                  <c:v>0.86777419933780453</c:v>
                </c:pt>
                <c:pt idx="26">
                  <c:v>0.18583007907558413</c:v>
                </c:pt>
                <c:pt idx="27">
                  <c:v>0.99999999999999312</c:v>
                </c:pt>
                <c:pt idx="28">
                  <c:v>0.22779488839150674</c:v>
                </c:pt>
                <c:pt idx="29">
                  <c:v>2.9054409387612137E-2</c:v>
                </c:pt>
                <c:pt idx="30">
                  <c:v>0.37904072576974479</c:v>
                </c:pt>
                <c:pt idx="31">
                  <c:v>0.89363880040196175</c:v>
                </c:pt>
                <c:pt idx="32">
                  <c:v>8.6823469601994086E-4</c:v>
                </c:pt>
                <c:pt idx="33">
                  <c:v>0.10278035128916446</c:v>
                </c:pt>
                <c:pt idx="34">
                  <c:v>1.9477436623284435E-2</c:v>
                </c:pt>
                <c:pt idx="35">
                  <c:v>0.54863996966071416</c:v>
                </c:pt>
                <c:pt idx="36">
                  <c:v>0.1200953201699015</c:v>
                </c:pt>
                <c:pt idx="37">
                  <c:v>0.28040510585128198</c:v>
                </c:pt>
                <c:pt idx="38">
                  <c:v>0.28371945217690947</c:v>
                </c:pt>
                <c:pt idx="39">
                  <c:v>0.99991538802669067</c:v>
                </c:pt>
                <c:pt idx="40">
                  <c:v>9.6744145581067698E-2</c:v>
                </c:pt>
                <c:pt idx="41">
                  <c:v>0.74143733609570961</c:v>
                </c:pt>
                <c:pt idx="42">
                  <c:v>0.80943681814871493</c:v>
                </c:pt>
                <c:pt idx="43">
                  <c:v>0.66362050743001944</c:v>
                </c:pt>
                <c:pt idx="44">
                  <c:v>1.6517331063877144E-11</c:v>
                </c:pt>
                <c:pt idx="45">
                  <c:v>0.97002924623392395</c:v>
                </c:pt>
                <c:pt idx="46">
                  <c:v>0.9999931474010304</c:v>
                </c:pt>
                <c:pt idx="47">
                  <c:v>0.22782405321149915</c:v>
                </c:pt>
                <c:pt idx="48">
                  <c:v>7.6983257904574438E-5</c:v>
                </c:pt>
                <c:pt idx="49">
                  <c:v>0.8198392513287629</c:v>
                </c:pt>
              </c:numCache>
            </c:numRef>
          </c:xVal>
          <c:yVal>
            <c:numRef>
              <c:f>neural_net!$BG$116:$BG$165</c:f>
              <c:numCache>
                <c:formatCode>0.00</c:formatCode>
                <c:ptCount val="50"/>
                <c:pt idx="0">
                  <c:v>0.49561315081169638</c:v>
                </c:pt>
                <c:pt idx="1">
                  <c:v>0.55422401854605974</c:v>
                </c:pt>
                <c:pt idx="2">
                  <c:v>0.49703736233630147</c:v>
                </c:pt>
                <c:pt idx="3">
                  <c:v>0.52780906907441327</c:v>
                </c:pt>
                <c:pt idx="4">
                  <c:v>0.53473163932860179</c:v>
                </c:pt>
                <c:pt idx="5">
                  <c:v>0.55029948536741624</c:v>
                </c:pt>
                <c:pt idx="6">
                  <c:v>0.49011096303485002</c:v>
                </c:pt>
                <c:pt idx="7">
                  <c:v>0.55448621570508583</c:v>
                </c:pt>
                <c:pt idx="8">
                  <c:v>0.56188757945372092</c:v>
                </c:pt>
                <c:pt idx="9">
                  <c:v>0.51117045426934027</c:v>
                </c:pt>
                <c:pt idx="10">
                  <c:v>0.49825283284067651</c:v>
                </c:pt>
                <c:pt idx="11">
                  <c:v>0.51452091915304665</c:v>
                </c:pt>
                <c:pt idx="12">
                  <c:v>0.53275344376526879</c:v>
                </c:pt>
                <c:pt idx="13">
                  <c:v>0.47779549952385059</c:v>
                </c:pt>
                <c:pt idx="14">
                  <c:v>0.55401525308106636</c:v>
                </c:pt>
                <c:pt idx="15">
                  <c:v>0.55384925345681912</c:v>
                </c:pt>
                <c:pt idx="16">
                  <c:v>0.46869746057989198</c:v>
                </c:pt>
                <c:pt idx="17">
                  <c:v>0.47427196298272573</c:v>
                </c:pt>
                <c:pt idx="18">
                  <c:v>0.5208749311158547</c:v>
                </c:pt>
                <c:pt idx="19">
                  <c:v>0.50008730290277403</c:v>
                </c:pt>
                <c:pt idx="20">
                  <c:v>0.575222759501539</c:v>
                </c:pt>
                <c:pt idx="21">
                  <c:v>0.49716191172132168</c:v>
                </c:pt>
                <c:pt idx="22">
                  <c:v>0.50494534243360933</c:v>
                </c:pt>
                <c:pt idx="23">
                  <c:v>0.56101305643329025</c:v>
                </c:pt>
                <c:pt idx="24">
                  <c:v>0.54225146664127521</c:v>
                </c:pt>
                <c:pt idx="25">
                  <c:v>0.54151757407988754</c:v>
                </c:pt>
                <c:pt idx="26">
                  <c:v>0.51636756540791584</c:v>
                </c:pt>
                <c:pt idx="27">
                  <c:v>0.48060003738153501</c:v>
                </c:pt>
                <c:pt idx="28">
                  <c:v>0.55246811324791456</c:v>
                </c:pt>
                <c:pt idx="29">
                  <c:v>0.44596511707136971</c:v>
                </c:pt>
                <c:pt idx="30">
                  <c:v>0.52309384233047485</c:v>
                </c:pt>
                <c:pt idx="31">
                  <c:v>0.54948349008892383</c:v>
                </c:pt>
                <c:pt idx="32">
                  <c:v>0.48941554040061475</c:v>
                </c:pt>
                <c:pt idx="33">
                  <c:v>0.43837936714656583</c:v>
                </c:pt>
                <c:pt idx="34">
                  <c:v>0.56081827909199866</c:v>
                </c:pt>
                <c:pt idx="35">
                  <c:v>0.53577203826756736</c:v>
                </c:pt>
                <c:pt idx="36">
                  <c:v>0.47883939443729034</c:v>
                </c:pt>
                <c:pt idx="37">
                  <c:v>0.53172792001194813</c:v>
                </c:pt>
                <c:pt idx="38">
                  <c:v>0.51434535879076704</c:v>
                </c:pt>
                <c:pt idx="39">
                  <c:v>0.44444330622584099</c:v>
                </c:pt>
                <c:pt idx="40">
                  <c:v>0.52592529864745707</c:v>
                </c:pt>
                <c:pt idx="41">
                  <c:v>0.49765228119517019</c:v>
                </c:pt>
                <c:pt idx="42">
                  <c:v>0.50612613426418984</c:v>
                </c:pt>
                <c:pt idx="43">
                  <c:v>0.53395867743322745</c:v>
                </c:pt>
                <c:pt idx="44">
                  <c:v>0.49949836625255667</c:v>
                </c:pt>
                <c:pt idx="45">
                  <c:v>0.55674433599532791</c:v>
                </c:pt>
                <c:pt idx="46">
                  <c:v>0.52962284712626695</c:v>
                </c:pt>
                <c:pt idx="47">
                  <c:v>0.5122980145531274</c:v>
                </c:pt>
                <c:pt idx="48">
                  <c:v>0.53376570337567053</c:v>
                </c:pt>
                <c:pt idx="49">
                  <c:v>0.46746317601115289</c:v>
                </c:pt>
              </c:numCache>
            </c:numRef>
          </c:yVal>
          <c:smooth val="0"/>
          <c:extLst>
            <c:ext xmlns:c16="http://schemas.microsoft.com/office/drawing/2014/chart" uri="{C3380CC4-5D6E-409C-BE32-E72D297353CC}">
              <c16:uniqueId val="{00000000-91AE-BD40-A139-72AABCBB5752}"/>
            </c:ext>
          </c:extLst>
        </c:ser>
        <c:dLbls>
          <c:showLegendKey val="0"/>
          <c:showVal val="0"/>
          <c:showCatName val="0"/>
          <c:showSerName val="0"/>
          <c:showPercent val="0"/>
          <c:showBubbleSize val="0"/>
        </c:dLbls>
        <c:axId val="1816825552"/>
        <c:axId val="1912273216"/>
      </c:scatterChart>
      <c:valAx>
        <c:axId val="181682555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2273216"/>
        <c:crosses val="autoZero"/>
        <c:crossBetween val="midCat"/>
      </c:valAx>
      <c:valAx>
        <c:axId val="1912273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68255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E687D34F-A0EE-6243-BFCC-76A2825FF705}">
  <sheetPr codeName="Chart4"/>
  <sheetViews>
    <sheetView zoomScale="92"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46A2948-B45E-1242-AA75-E2D0C22D41FD}">
  <sheetPr codeName="Chart1"/>
  <sheetViews>
    <sheetView zoomScale="105"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1AD4BE4D-CB62-9D49-8DFE-1E6BA883EED3}">
  <sheetPr codeName="Chart2"/>
  <sheetViews>
    <sheetView zoomScale="247"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3</xdr:col>
      <xdr:colOff>2101823</xdr:colOff>
      <xdr:row>5</xdr:row>
      <xdr:rowOff>337078</xdr:rowOff>
    </xdr:from>
    <xdr:to>
      <xdr:col>3</xdr:col>
      <xdr:colOff>2821823</xdr:colOff>
      <xdr:row>8</xdr:row>
      <xdr:rowOff>873890</xdr:rowOff>
    </xdr:to>
    <xdr:grpSp>
      <xdr:nvGrpSpPr>
        <xdr:cNvPr id="55" name="Group 54">
          <a:extLst>
            <a:ext uri="{FF2B5EF4-FFF2-40B4-BE49-F238E27FC236}">
              <a16:creationId xmlns:a16="http://schemas.microsoft.com/office/drawing/2014/main" id="{00000000-0008-0000-0000-000037000000}"/>
            </a:ext>
          </a:extLst>
        </xdr:cNvPr>
        <xdr:cNvGrpSpPr/>
      </xdr:nvGrpSpPr>
      <xdr:grpSpPr>
        <a:xfrm>
          <a:off x="11749726" y="2262562"/>
          <a:ext cx="720000" cy="3629876"/>
          <a:chOff x="1794932" y="2031071"/>
          <a:chExt cx="720000" cy="3615600"/>
        </a:xfrm>
      </xdr:grpSpPr>
      <xdr:sp macro="" textlink="">
        <xdr:nvSpPr>
          <xdr:cNvPr id="104" name="Oval 103">
            <a:extLst>
              <a:ext uri="{FF2B5EF4-FFF2-40B4-BE49-F238E27FC236}">
                <a16:creationId xmlns:a16="http://schemas.microsoft.com/office/drawing/2014/main" id="{00000000-0008-0000-0000-000068000000}"/>
              </a:ext>
            </a:extLst>
          </xdr:cNvPr>
          <xdr:cNvSpPr/>
        </xdr:nvSpPr>
        <xdr:spPr>
          <a:xfrm>
            <a:off x="1794932" y="2031071"/>
            <a:ext cx="720000" cy="720000"/>
          </a:xfrm>
          <a:prstGeom prst="ellipse">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05" name="Oval 104">
            <a:extLst>
              <a:ext uri="{FF2B5EF4-FFF2-40B4-BE49-F238E27FC236}">
                <a16:creationId xmlns:a16="http://schemas.microsoft.com/office/drawing/2014/main" id="{00000000-0008-0000-0000-000069000000}"/>
              </a:ext>
            </a:extLst>
          </xdr:cNvPr>
          <xdr:cNvSpPr/>
        </xdr:nvSpPr>
        <xdr:spPr>
          <a:xfrm>
            <a:off x="1794932" y="2996271"/>
            <a:ext cx="720000" cy="720000"/>
          </a:xfrm>
          <a:prstGeom prst="ellipse">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06" name="Oval 105">
            <a:extLst>
              <a:ext uri="{FF2B5EF4-FFF2-40B4-BE49-F238E27FC236}">
                <a16:creationId xmlns:a16="http://schemas.microsoft.com/office/drawing/2014/main" id="{00000000-0008-0000-0000-00006A000000}"/>
              </a:ext>
            </a:extLst>
          </xdr:cNvPr>
          <xdr:cNvSpPr/>
        </xdr:nvSpPr>
        <xdr:spPr>
          <a:xfrm>
            <a:off x="1794932" y="3961471"/>
            <a:ext cx="720000" cy="720000"/>
          </a:xfrm>
          <a:prstGeom prst="ellipse">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07" name="Oval 106">
            <a:extLst>
              <a:ext uri="{FF2B5EF4-FFF2-40B4-BE49-F238E27FC236}">
                <a16:creationId xmlns:a16="http://schemas.microsoft.com/office/drawing/2014/main" id="{00000000-0008-0000-0000-00006B000000}"/>
              </a:ext>
            </a:extLst>
          </xdr:cNvPr>
          <xdr:cNvSpPr/>
        </xdr:nvSpPr>
        <xdr:spPr>
          <a:xfrm>
            <a:off x="1794932" y="4926671"/>
            <a:ext cx="720000" cy="720000"/>
          </a:xfrm>
          <a:prstGeom prst="ellipse">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3</xdr:col>
      <xdr:colOff>2101823</xdr:colOff>
      <xdr:row>2</xdr:row>
      <xdr:rowOff>358630</xdr:rowOff>
    </xdr:from>
    <xdr:to>
      <xdr:col>3</xdr:col>
      <xdr:colOff>2821823</xdr:colOff>
      <xdr:row>4</xdr:row>
      <xdr:rowOff>385903</xdr:rowOff>
    </xdr:to>
    <xdr:sp macro="" textlink="">
      <xdr:nvSpPr>
        <xdr:cNvPr id="56" name="Oval 55">
          <a:extLst>
            <a:ext uri="{FF2B5EF4-FFF2-40B4-BE49-F238E27FC236}">
              <a16:creationId xmlns:a16="http://schemas.microsoft.com/office/drawing/2014/main" id="{00000000-0008-0000-0000-000038000000}"/>
            </a:ext>
          </a:extLst>
        </xdr:cNvPr>
        <xdr:cNvSpPr/>
      </xdr:nvSpPr>
      <xdr:spPr>
        <a:xfrm>
          <a:off x="11761520" y="974388"/>
          <a:ext cx="720000" cy="720000"/>
        </a:xfrm>
        <a:prstGeom prst="ellipse">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3</xdr:col>
      <xdr:colOff>4675690</xdr:colOff>
      <xdr:row>5</xdr:row>
      <xdr:rowOff>819678</xdr:rowOff>
    </xdr:from>
    <xdr:to>
      <xdr:col>3</xdr:col>
      <xdr:colOff>5395690</xdr:colOff>
      <xdr:row>8</xdr:row>
      <xdr:rowOff>391290</xdr:rowOff>
    </xdr:to>
    <xdr:grpSp>
      <xdr:nvGrpSpPr>
        <xdr:cNvPr id="57" name="Group 56">
          <a:extLst>
            <a:ext uri="{FF2B5EF4-FFF2-40B4-BE49-F238E27FC236}">
              <a16:creationId xmlns:a16="http://schemas.microsoft.com/office/drawing/2014/main" id="{00000000-0008-0000-0000-000039000000}"/>
            </a:ext>
          </a:extLst>
        </xdr:cNvPr>
        <xdr:cNvGrpSpPr/>
      </xdr:nvGrpSpPr>
      <xdr:grpSpPr>
        <a:xfrm>
          <a:off x="14323593" y="2745162"/>
          <a:ext cx="720000" cy="2664676"/>
          <a:chOff x="2963332" y="2391071"/>
          <a:chExt cx="720000" cy="2650400"/>
        </a:xfrm>
      </xdr:grpSpPr>
      <xdr:sp macro="" textlink="">
        <xdr:nvSpPr>
          <xdr:cNvPr id="101" name="Oval 100">
            <a:extLst>
              <a:ext uri="{FF2B5EF4-FFF2-40B4-BE49-F238E27FC236}">
                <a16:creationId xmlns:a16="http://schemas.microsoft.com/office/drawing/2014/main" id="{00000000-0008-0000-0000-000065000000}"/>
              </a:ext>
            </a:extLst>
          </xdr:cNvPr>
          <xdr:cNvSpPr/>
        </xdr:nvSpPr>
        <xdr:spPr>
          <a:xfrm>
            <a:off x="2963332" y="2391071"/>
            <a:ext cx="720000" cy="720000"/>
          </a:xfrm>
          <a:prstGeom prst="ellipse">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02" name="Oval 101">
            <a:extLst>
              <a:ext uri="{FF2B5EF4-FFF2-40B4-BE49-F238E27FC236}">
                <a16:creationId xmlns:a16="http://schemas.microsoft.com/office/drawing/2014/main" id="{00000000-0008-0000-0000-000066000000}"/>
              </a:ext>
            </a:extLst>
          </xdr:cNvPr>
          <xdr:cNvSpPr/>
        </xdr:nvSpPr>
        <xdr:spPr>
          <a:xfrm>
            <a:off x="2963332" y="3356271"/>
            <a:ext cx="720000" cy="720000"/>
          </a:xfrm>
          <a:prstGeom prst="ellipse">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03" name="Oval 102">
            <a:extLst>
              <a:ext uri="{FF2B5EF4-FFF2-40B4-BE49-F238E27FC236}">
                <a16:creationId xmlns:a16="http://schemas.microsoft.com/office/drawing/2014/main" id="{00000000-0008-0000-0000-000067000000}"/>
              </a:ext>
            </a:extLst>
          </xdr:cNvPr>
          <xdr:cNvSpPr/>
        </xdr:nvSpPr>
        <xdr:spPr>
          <a:xfrm>
            <a:off x="2963332" y="4321471"/>
            <a:ext cx="720000" cy="720000"/>
          </a:xfrm>
          <a:prstGeom prst="ellipse">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3</xdr:col>
      <xdr:colOff>4675690</xdr:colOff>
      <xdr:row>2</xdr:row>
      <xdr:rowOff>358630</xdr:rowOff>
    </xdr:from>
    <xdr:to>
      <xdr:col>3</xdr:col>
      <xdr:colOff>5395690</xdr:colOff>
      <xdr:row>4</xdr:row>
      <xdr:rowOff>385903</xdr:rowOff>
    </xdr:to>
    <xdr:sp macro="" textlink="">
      <xdr:nvSpPr>
        <xdr:cNvPr id="58" name="Oval 57">
          <a:extLst>
            <a:ext uri="{FF2B5EF4-FFF2-40B4-BE49-F238E27FC236}">
              <a16:creationId xmlns:a16="http://schemas.microsoft.com/office/drawing/2014/main" id="{00000000-0008-0000-0000-00003A000000}"/>
            </a:ext>
          </a:extLst>
        </xdr:cNvPr>
        <xdr:cNvSpPr/>
      </xdr:nvSpPr>
      <xdr:spPr>
        <a:xfrm>
          <a:off x="14335387" y="974388"/>
          <a:ext cx="720000" cy="720000"/>
        </a:xfrm>
        <a:prstGeom prst="ellipse">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3</xdr:col>
      <xdr:colOff>7452750</xdr:colOff>
      <xdr:row>6</xdr:row>
      <xdr:rowOff>90005</xdr:rowOff>
    </xdr:from>
    <xdr:to>
      <xdr:col>3</xdr:col>
      <xdr:colOff>8172750</xdr:colOff>
      <xdr:row>7</xdr:row>
      <xdr:rowOff>716872</xdr:rowOff>
    </xdr:to>
    <xdr:grpSp>
      <xdr:nvGrpSpPr>
        <xdr:cNvPr id="59" name="Group 58">
          <a:extLst>
            <a:ext uri="{FF2B5EF4-FFF2-40B4-BE49-F238E27FC236}">
              <a16:creationId xmlns:a16="http://schemas.microsoft.com/office/drawing/2014/main" id="{00000000-0008-0000-0000-00003B000000}"/>
            </a:ext>
          </a:extLst>
        </xdr:cNvPr>
        <xdr:cNvGrpSpPr/>
      </xdr:nvGrpSpPr>
      <xdr:grpSpPr>
        <a:xfrm>
          <a:off x="17100653" y="3244521"/>
          <a:ext cx="720000" cy="1671545"/>
          <a:chOff x="6189466" y="2816271"/>
          <a:chExt cx="720000" cy="1685200"/>
        </a:xfrm>
      </xdr:grpSpPr>
      <xdr:sp macro="" textlink="">
        <xdr:nvSpPr>
          <xdr:cNvPr id="99" name="Oval 98">
            <a:extLst>
              <a:ext uri="{FF2B5EF4-FFF2-40B4-BE49-F238E27FC236}">
                <a16:creationId xmlns:a16="http://schemas.microsoft.com/office/drawing/2014/main" id="{00000000-0008-0000-0000-000063000000}"/>
              </a:ext>
            </a:extLst>
          </xdr:cNvPr>
          <xdr:cNvSpPr/>
        </xdr:nvSpPr>
        <xdr:spPr>
          <a:xfrm>
            <a:off x="6189466" y="2816271"/>
            <a:ext cx="720000" cy="720000"/>
          </a:xfrm>
          <a:prstGeom prst="ellipse">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00" name="Oval 99">
            <a:extLst>
              <a:ext uri="{FF2B5EF4-FFF2-40B4-BE49-F238E27FC236}">
                <a16:creationId xmlns:a16="http://schemas.microsoft.com/office/drawing/2014/main" id="{00000000-0008-0000-0000-000064000000}"/>
              </a:ext>
            </a:extLst>
          </xdr:cNvPr>
          <xdr:cNvSpPr/>
        </xdr:nvSpPr>
        <xdr:spPr>
          <a:xfrm>
            <a:off x="6189466" y="3781471"/>
            <a:ext cx="720000" cy="720000"/>
          </a:xfrm>
          <a:prstGeom prst="ellipse">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3</xdr:col>
      <xdr:colOff>7452750</xdr:colOff>
      <xdr:row>2</xdr:row>
      <xdr:rowOff>358630</xdr:rowOff>
    </xdr:from>
    <xdr:to>
      <xdr:col>3</xdr:col>
      <xdr:colOff>8172750</xdr:colOff>
      <xdr:row>4</xdr:row>
      <xdr:rowOff>385903</xdr:rowOff>
    </xdr:to>
    <xdr:sp macro="" textlink="">
      <xdr:nvSpPr>
        <xdr:cNvPr id="60" name="Oval 59">
          <a:extLst>
            <a:ext uri="{FF2B5EF4-FFF2-40B4-BE49-F238E27FC236}">
              <a16:creationId xmlns:a16="http://schemas.microsoft.com/office/drawing/2014/main" id="{00000000-0008-0000-0000-00003C000000}"/>
            </a:ext>
          </a:extLst>
        </xdr:cNvPr>
        <xdr:cNvSpPr/>
      </xdr:nvSpPr>
      <xdr:spPr>
        <a:xfrm>
          <a:off x="17112447" y="974388"/>
          <a:ext cx="720000" cy="720000"/>
        </a:xfrm>
        <a:prstGeom prst="ellipse">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3</xdr:col>
      <xdr:colOff>9509810</xdr:colOff>
      <xdr:row>6</xdr:row>
      <xdr:rowOff>450005</xdr:rowOff>
    </xdr:from>
    <xdr:to>
      <xdr:col>3</xdr:col>
      <xdr:colOff>10229810</xdr:colOff>
      <xdr:row>7</xdr:row>
      <xdr:rowOff>111672</xdr:rowOff>
    </xdr:to>
    <xdr:sp macro="" textlink="">
      <xdr:nvSpPr>
        <xdr:cNvPr id="61" name="Oval 60">
          <a:extLst>
            <a:ext uri="{FF2B5EF4-FFF2-40B4-BE49-F238E27FC236}">
              <a16:creationId xmlns:a16="http://schemas.microsoft.com/office/drawing/2014/main" id="{00000000-0008-0000-0000-00003D000000}"/>
            </a:ext>
          </a:extLst>
        </xdr:cNvPr>
        <xdr:cNvSpPr/>
      </xdr:nvSpPr>
      <xdr:spPr>
        <a:xfrm>
          <a:off x="19169507" y="3586520"/>
          <a:ext cx="720000" cy="720000"/>
        </a:xfrm>
        <a:prstGeom prst="ellipse">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3</xdr:col>
      <xdr:colOff>2821823</xdr:colOff>
      <xdr:row>4</xdr:row>
      <xdr:rowOff>25903</xdr:rowOff>
    </xdr:from>
    <xdr:to>
      <xdr:col>3</xdr:col>
      <xdr:colOff>4675690</xdr:colOff>
      <xdr:row>5</xdr:row>
      <xdr:rowOff>1179678</xdr:rowOff>
    </xdr:to>
    <xdr:cxnSp macro="">
      <xdr:nvCxnSpPr>
        <xdr:cNvPr id="62" name="Straight Arrow Connector 61">
          <a:extLst>
            <a:ext uri="{FF2B5EF4-FFF2-40B4-BE49-F238E27FC236}">
              <a16:creationId xmlns:a16="http://schemas.microsoft.com/office/drawing/2014/main" id="{00000000-0008-0000-0000-00003E000000}"/>
            </a:ext>
          </a:extLst>
        </xdr:cNvPr>
        <xdr:cNvCxnSpPr>
          <a:stCxn id="56" idx="6"/>
          <a:endCxn id="101" idx="2"/>
        </xdr:cNvCxnSpPr>
      </xdr:nvCxnSpPr>
      <xdr:spPr>
        <a:xfrm>
          <a:off x="12481520" y="1334388"/>
          <a:ext cx="1853867" cy="1769532"/>
        </a:xfrm>
        <a:prstGeom prst="straightConnector1">
          <a:avLst/>
        </a:prstGeom>
        <a:ln w="6350">
          <a:solidFill>
            <a:schemeClr val="bg1">
              <a:lumMod val="65000"/>
            </a:schemeClr>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2821823</xdr:colOff>
      <xdr:row>5</xdr:row>
      <xdr:rowOff>697078</xdr:rowOff>
    </xdr:from>
    <xdr:to>
      <xdr:col>3</xdr:col>
      <xdr:colOff>4675690</xdr:colOff>
      <xdr:row>5</xdr:row>
      <xdr:rowOff>1179678</xdr:rowOff>
    </xdr:to>
    <xdr:cxnSp macro="">
      <xdr:nvCxnSpPr>
        <xdr:cNvPr id="63" name="Straight Arrow Connector 62">
          <a:extLst>
            <a:ext uri="{FF2B5EF4-FFF2-40B4-BE49-F238E27FC236}">
              <a16:creationId xmlns:a16="http://schemas.microsoft.com/office/drawing/2014/main" id="{00000000-0008-0000-0000-00003F000000}"/>
            </a:ext>
          </a:extLst>
        </xdr:cNvPr>
        <xdr:cNvCxnSpPr>
          <a:cxnSpLocks/>
          <a:stCxn id="104" idx="6"/>
          <a:endCxn id="101" idx="2"/>
        </xdr:cNvCxnSpPr>
      </xdr:nvCxnSpPr>
      <xdr:spPr>
        <a:xfrm>
          <a:off x="12481520" y="2621320"/>
          <a:ext cx="1853867" cy="4826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2821823</xdr:colOff>
      <xdr:row>5</xdr:row>
      <xdr:rowOff>1179678</xdr:rowOff>
    </xdr:from>
    <xdr:to>
      <xdr:col>3</xdr:col>
      <xdr:colOff>4675690</xdr:colOff>
      <xdr:row>6</xdr:row>
      <xdr:rowOff>450005</xdr:rowOff>
    </xdr:to>
    <xdr:cxnSp macro="">
      <xdr:nvCxnSpPr>
        <xdr:cNvPr id="64" name="Straight Arrow Connector 63">
          <a:extLst>
            <a:ext uri="{FF2B5EF4-FFF2-40B4-BE49-F238E27FC236}">
              <a16:creationId xmlns:a16="http://schemas.microsoft.com/office/drawing/2014/main" id="{00000000-0008-0000-0000-000040000000}"/>
            </a:ext>
          </a:extLst>
        </xdr:cNvPr>
        <xdr:cNvCxnSpPr>
          <a:cxnSpLocks/>
          <a:stCxn id="105" idx="6"/>
          <a:endCxn id="101" idx="2"/>
        </xdr:cNvCxnSpPr>
      </xdr:nvCxnSpPr>
      <xdr:spPr>
        <a:xfrm flipV="1">
          <a:off x="12481520" y="3103920"/>
          <a:ext cx="1853867" cy="4826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2821823</xdr:colOff>
      <xdr:row>5</xdr:row>
      <xdr:rowOff>1179678</xdr:rowOff>
    </xdr:from>
    <xdr:to>
      <xdr:col>3</xdr:col>
      <xdr:colOff>4675690</xdr:colOff>
      <xdr:row>7</xdr:row>
      <xdr:rowOff>356872</xdr:rowOff>
    </xdr:to>
    <xdr:cxnSp macro="">
      <xdr:nvCxnSpPr>
        <xdr:cNvPr id="65" name="Straight Arrow Connector 64">
          <a:extLst>
            <a:ext uri="{FF2B5EF4-FFF2-40B4-BE49-F238E27FC236}">
              <a16:creationId xmlns:a16="http://schemas.microsoft.com/office/drawing/2014/main" id="{00000000-0008-0000-0000-000041000000}"/>
            </a:ext>
          </a:extLst>
        </xdr:cNvPr>
        <xdr:cNvCxnSpPr>
          <a:cxnSpLocks/>
          <a:stCxn id="106" idx="6"/>
          <a:endCxn id="101" idx="2"/>
        </xdr:cNvCxnSpPr>
      </xdr:nvCxnSpPr>
      <xdr:spPr>
        <a:xfrm flipV="1">
          <a:off x="12481520" y="3103920"/>
          <a:ext cx="1853867" cy="14478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2821823</xdr:colOff>
      <xdr:row>5</xdr:row>
      <xdr:rowOff>1179678</xdr:rowOff>
    </xdr:from>
    <xdr:to>
      <xdr:col>3</xdr:col>
      <xdr:colOff>4675690</xdr:colOff>
      <xdr:row>8</xdr:row>
      <xdr:rowOff>513890</xdr:rowOff>
    </xdr:to>
    <xdr:cxnSp macro="">
      <xdr:nvCxnSpPr>
        <xdr:cNvPr id="66" name="Straight Arrow Connector 65">
          <a:extLst>
            <a:ext uri="{FF2B5EF4-FFF2-40B4-BE49-F238E27FC236}">
              <a16:creationId xmlns:a16="http://schemas.microsoft.com/office/drawing/2014/main" id="{00000000-0008-0000-0000-000042000000}"/>
            </a:ext>
          </a:extLst>
        </xdr:cNvPr>
        <xdr:cNvCxnSpPr>
          <a:cxnSpLocks/>
          <a:stCxn id="107" idx="6"/>
          <a:endCxn id="101" idx="2"/>
        </xdr:cNvCxnSpPr>
      </xdr:nvCxnSpPr>
      <xdr:spPr>
        <a:xfrm flipV="1">
          <a:off x="12481520" y="3103920"/>
          <a:ext cx="1853867" cy="24130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2821823</xdr:colOff>
      <xdr:row>8</xdr:row>
      <xdr:rowOff>31290</xdr:rowOff>
    </xdr:from>
    <xdr:to>
      <xdr:col>3</xdr:col>
      <xdr:colOff>4675690</xdr:colOff>
      <xdr:row>8</xdr:row>
      <xdr:rowOff>513890</xdr:rowOff>
    </xdr:to>
    <xdr:cxnSp macro="">
      <xdr:nvCxnSpPr>
        <xdr:cNvPr id="67" name="Straight Arrow Connector 66">
          <a:extLst>
            <a:ext uri="{FF2B5EF4-FFF2-40B4-BE49-F238E27FC236}">
              <a16:creationId xmlns:a16="http://schemas.microsoft.com/office/drawing/2014/main" id="{00000000-0008-0000-0000-000043000000}"/>
            </a:ext>
          </a:extLst>
        </xdr:cNvPr>
        <xdr:cNvCxnSpPr>
          <a:cxnSpLocks/>
          <a:stCxn id="107" idx="6"/>
          <a:endCxn id="103" idx="2"/>
        </xdr:cNvCxnSpPr>
      </xdr:nvCxnSpPr>
      <xdr:spPr>
        <a:xfrm flipV="1">
          <a:off x="12481520" y="5034320"/>
          <a:ext cx="1853867" cy="4826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2821823</xdr:colOff>
      <xdr:row>6</xdr:row>
      <xdr:rowOff>932605</xdr:rowOff>
    </xdr:from>
    <xdr:to>
      <xdr:col>3</xdr:col>
      <xdr:colOff>4675690</xdr:colOff>
      <xdr:row>8</xdr:row>
      <xdr:rowOff>513890</xdr:rowOff>
    </xdr:to>
    <xdr:cxnSp macro="">
      <xdr:nvCxnSpPr>
        <xdr:cNvPr id="68" name="Straight Arrow Connector 67">
          <a:extLst>
            <a:ext uri="{FF2B5EF4-FFF2-40B4-BE49-F238E27FC236}">
              <a16:creationId xmlns:a16="http://schemas.microsoft.com/office/drawing/2014/main" id="{00000000-0008-0000-0000-000044000000}"/>
            </a:ext>
          </a:extLst>
        </xdr:cNvPr>
        <xdr:cNvCxnSpPr>
          <a:cxnSpLocks/>
          <a:stCxn id="107" idx="6"/>
          <a:endCxn id="102" idx="2"/>
        </xdr:cNvCxnSpPr>
      </xdr:nvCxnSpPr>
      <xdr:spPr>
        <a:xfrm flipV="1">
          <a:off x="12481520" y="4069120"/>
          <a:ext cx="1853867" cy="14478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2821823</xdr:colOff>
      <xdr:row>6</xdr:row>
      <xdr:rowOff>932605</xdr:rowOff>
    </xdr:from>
    <xdr:to>
      <xdr:col>3</xdr:col>
      <xdr:colOff>4675690</xdr:colOff>
      <xdr:row>7</xdr:row>
      <xdr:rowOff>356872</xdr:rowOff>
    </xdr:to>
    <xdr:cxnSp macro="">
      <xdr:nvCxnSpPr>
        <xdr:cNvPr id="69" name="Straight Arrow Connector 68">
          <a:extLst>
            <a:ext uri="{FF2B5EF4-FFF2-40B4-BE49-F238E27FC236}">
              <a16:creationId xmlns:a16="http://schemas.microsoft.com/office/drawing/2014/main" id="{00000000-0008-0000-0000-000045000000}"/>
            </a:ext>
          </a:extLst>
        </xdr:cNvPr>
        <xdr:cNvCxnSpPr>
          <a:cxnSpLocks/>
          <a:stCxn id="106" idx="6"/>
          <a:endCxn id="102" idx="2"/>
        </xdr:cNvCxnSpPr>
      </xdr:nvCxnSpPr>
      <xdr:spPr>
        <a:xfrm flipV="1">
          <a:off x="12481520" y="4069120"/>
          <a:ext cx="1853867" cy="4826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2821823</xdr:colOff>
      <xdr:row>7</xdr:row>
      <xdr:rowOff>356872</xdr:rowOff>
    </xdr:from>
    <xdr:to>
      <xdr:col>3</xdr:col>
      <xdr:colOff>4675690</xdr:colOff>
      <xdr:row>8</xdr:row>
      <xdr:rowOff>31290</xdr:rowOff>
    </xdr:to>
    <xdr:cxnSp macro="">
      <xdr:nvCxnSpPr>
        <xdr:cNvPr id="70" name="Straight Arrow Connector 69">
          <a:extLst>
            <a:ext uri="{FF2B5EF4-FFF2-40B4-BE49-F238E27FC236}">
              <a16:creationId xmlns:a16="http://schemas.microsoft.com/office/drawing/2014/main" id="{00000000-0008-0000-0000-000046000000}"/>
            </a:ext>
          </a:extLst>
        </xdr:cNvPr>
        <xdr:cNvCxnSpPr>
          <a:cxnSpLocks/>
          <a:stCxn id="106" idx="6"/>
          <a:endCxn id="103" idx="2"/>
        </xdr:cNvCxnSpPr>
      </xdr:nvCxnSpPr>
      <xdr:spPr>
        <a:xfrm>
          <a:off x="12481520" y="4551720"/>
          <a:ext cx="1853867" cy="4826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2821823</xdr:colOff>
      <xdr:row>6</xdr:row>
      <xdr:rowOff>450005</xdr:rowOff>
    </xdr:from>
    <xdr:to>
      <xdr:col>3</xdr:col>
      <xdr:colOff>4675690</xdr:colOff>
      <xdr:row>8</xdr:row>
      <xdr:rowOff>31290</xdr:rowOff>
    </xdr:to>
    <xdr:cxnSp macro="">
      <xdr:nvCxnSpPr>
        <xdr:cNvPr id="71" name="Straight Arrow Connector 70">
          <a:extLst>
            <a:ext uri="{FF2B5EF4-FFF2-40B4-BE49-F238E27FC236}">
              <a16:creationId xmlns:a16="http://schemas.microsoft.com/office/drawing/2014/main" id="{00000000-0008-0000-0000-000047000000}"/>
            </a:ext>
          </a:extLst>
        </xdr:cNvPr>
        <xdr:cNvCxnSpPr>
          <a:cxnSpLocks/>
          <a:stCxn id="105" idx="6"/>
          <a:endCxn id="103" idx="2"/>
        </xdr:cNvCxnSpPr>
      </xdr:nvCxnSpPr>
      <xdr:spPr>
        <a:xfrm>
          <a:off x="12481520" y="3586520"/>
          <a:ext cx="1853867" cy="14478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2821823</xdr:colOff>
      <xdr:row>6</xdr:row>
      <xdr:rowOff>450005</xdr:rowOff>
    </xdr:from>
    <xdr:to>
      <xdr:col>3</xdr:col>
      <xdr:colOff>4675690</xdr:colOff>
      <xdr:row>6</xdr:row>
      <xdr:rowOff>932605</xdr:rowOff>
    </xdr:to>
    <xdr:cxnSp macro="">
      <xdr:nvCxnSpPr>
        <xdr:cNvPr id="72" name="Straight Arrow Connector 71">
          <a:extLst>
            <a:ext uri="{FF2B5EF4-FFF2-40B4-BE49-F238E27FC236}">
              <a16:creationId xmlns:a16="http://schemas.microsoft.com/office/drawing/2014/main" id="{00000000-0008-0000-0000-000048000000}"/>
            </a:ext>
          </a:extLst>
        </xdr:cNvPr>
        <xdr:cNvCxnSpPr>
          <a:cxnSpLocks/>
          <a:stCxn id="105" idx="6"/>
          <a:endCxn id="102" idx="2"/>
        </xdr:cNvCxnSpPr>
      </xdr:nvCxnSpPr>
      <xdr:spPr>
        <a:xfrm>
          <a:off x="12481520" y="3586520"/>
          <a:ext cx="1853867" cy="4826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2821823</xdr:colOff>
      <xdr:row>5</xdr:row>
      <xdr:rowOff>697078</xdr:rowOff>
    </xdr:from>
    <xdr:to>
      <xdr:col>3</xdr:col>
      <xdr:colOff>4675690</xdr:colOff>
      <xdr:row>6</xdr:row>
      <xdr:rowOff>932605</xdr:rowOff>
    </xdr:to>
    <xdr:cxnSp macro="">
      <xdr:nvCxnSpPr>
        <xdr:cNvPr id="73" name="Straight Arrow Connector 72">
          <a:extLst>
            <a:ext uri="{FF2B5EF4-FFF2-40B4-BE49-F238E27FC236}">
              <a16:creationId xmlns:a16="http://schemas.microsoft.com/office/drawing/2014/main" id="{00000000-0008-0000-0000-000049000000}"/>
            </a:ext>
          </a:extLst>
        </xdr:cNvPr>
        <xdr:cNvCxnSpPr>
          <a:cxnSpLocks/>
          <a:stCxn id="104" idx="6"/>
          <a:endCxn id="102" idx="2"/>
        </xdr:cNvCxnSpPr>
      </xdr:nvCxnSpPr>
      <xdr:spPr>
        <a:xfrm>
          <a:off x="12481520" y="2621320"/>
          <a:ext cx="1853867" cy="14478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2821823</xdr:colOff>
      <xdr:row>5</xdr:row>
      <xdr:rowOff>697078</xdr:rowOff>
    </xdr:from>
    <xdr:to>
      <xdr:col>3</xdr:col>
      <xdr:colOff>4675690</xdr:colOff>
      <xdr:row>8</xdr:row>
      <xdr:rowOff>31290</xdr:rowOff>
    </xdr:to>
    <xdr:cxnSp macro="">
      <xdr:nvCxnSpPr>
        <xdr:cNvPr id="74" name="Straight Arrow Connector 73">
          <a:extLst>
            <a:ext uri="{FF2B5EF4-FFF2-40B4-BE49-F238E27FC236}">
              <a16:creationId xmlns:a16="http://schemas.microsoft.com/office/drawing/2014/main" id="{00000000-0008-0000-0000-00004A000000}"/>
            </a:ext>
          </a:extLst>
        </xdr:cNvPr>
        <xdr:cNvCxnSpPr>
          <a:cxnSpLocks/>
          <a:stCxn id="104" idx="6"/>
          <a:endCxn id="103" idx="2"/>
        </xdr:cNvCxnSpPr>
      </xdr:nvCxnSpPr>
      <xdr:spPr>
        <a:xfrm>
          <a:off x="12481520" y="2621320"/>
          <a:ext cx="1853867" cy="24130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2821823</xdr:colOff>
      <xdr:row>4</xdr:row>
      <xdr:rowOff>25903</xdr:rowOff>
    </xdr:from>
    <xdr:to>
      <xdr:col>3</xdr:col>
      <xdr:colOff>4675690</xdr:colOff>
      <xdr:row>6</xdr:row>
      <xdr:rowOff>932605</xdr:rowOff>
    </xdr:to>
    <xdr:cxnSp macro="">
      <xdr:nvCxnSpPr>
        <xdr:cNvPr id="75" name="Straight Arrow Connector 74">
          <a:extLst>
            <a:ext uri="{FF2B5EF4-FFF2-40B4-BE49-F238E27FC236}">
              <a16:creationId xmlns:a16="http://schemas.microsoft.com/office/drawing/2014/main" id="{00000000-0008-0000-0000-00004B000000}"/>
            </a:ext>
          </a:extLst>
        </xdr:cNvPr>
        <xdr:cNvCxnSpPr>
          <a:cxnSpLocks/>
          <a:stCxn id="56" idx="6"/>
          <a:endCxn id="102" idx="2"/>
        </xdr:cNvCxnSpPr>
      </xdr:nvCxnSpPr>
      <xdr:spPr>
        <a:xfrm>
          <a:off x="12481520" y="1334388"/>
          <a:ext cx="1853867" cy="2734732"/>
        </a:xfrm>
        <a:prstGeom prst="straightConnector1">
          <a:avLst/>
        </a:prstGeom>
        <a:ln w="6350">
          <a:solidFill>
            <a:schemeClr val="bg1">
              <a:lumMod val="65000"/>
            </a:schemeClr>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2821823</xdr:colOff>
      <xdr:row>4</xdr:row>
      <xdr:rowOff>25903</xdr:rowOff>
    </xdr:from>
    <xdr:to>
      <xdr:col>3</xdr:col>
      <xdr:colOff>4675690</xdr:colOff>
      <xdr:row>8</xdr:row>
      <xdr:rowOff>31290</xdr:rowOff>
    </xdr:to>
    <xdr:cxnSp macro="">
      <xdr:nvCxnSpPr>
        <xdr:cNvPr id="76" name="Straight Arrow Connector 75">
          <a:extLst>
            <a:ext uri="{FF2B5EF4-FFF2-40B4-BE49-F238E27FC236}">
              <a16:creationId xmlns:a16="http://schemas.microsoft.com/office/drawing/2014/main" id="{00000000-0008-0000-0000-00004C000000}"/>
            </a:ext>
          </a:extLst>
        </xdr:cNvPr>
        <xdr:cNvCxnSpPr>
          <a:cxnSpLocks/>
          <a:stCxn id="56" idx="6"/>
          <a:endCxn id="103" idx="2"/>
        </xdr:cNvCxnSpPr>
      </xdr:nvCxnSpPr>
      <xdr:spPr>
        <a:xfrm>
          <a:off x="12481520" y="1334388"/>
          <a:ext cx="1853867" cy="3699932"/>
        </a:xfrm>
        <a:prstGeom prst="straightConnector1">
          <a:avLst/>
        </a:prstGeom>
        <a:ln w="6350">
          <a:solidFill>
            <a:schemeClr val="bg1">
              <a:lumMod val="65000"/>
            </a:schemeClr>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5395690</xdr:colOff>
      <xdr:row>5</xdr:row>
      <xdr:rowOff>1179678</xdr:rowOff>
    </xdr:from>
    <xdr:to>
      <xdr:col>3</xdr:col>
      <xdr:colOff>7452750</xdr:colOff>
      <xdr:row>6</xdr:row>
      <xdr:rowOff>450005</xdr:rowOff>
    </xdr:to>
    <xdr:cxnSp macro="">
      <xdr:nvCxnSpPr>
        <xdr:cNvPr id="77" name="Straight Arrow Connector 76">
          <a:extLst>
            <a:ext uri="{FF2B5EF4-FFF2-40B4-BE49-F238E27FC236}">
              <a16:creationId xmlns:a16="http://schemas.microsoft.com/office/drawing/2014/main" id="{00000000-0008-0000-0000-00004D000000}"/>
            </a:ext>
          </a:extLst>
        </xdr:cNvPr>
        <xdr:cNvCxnSpPr>
          <a:cxnSpLocks/>
          <a:stCxn id="101" idx="6"/>
          <a:endCxn id="99" idx="2"/>
        </xdr:cNvCxnSpPr>
      </xdr:nvCxnSpPr>
      <xdr:spPr>
        <a:xfrm>
          <a:off x="15055387" y="3103920"/>
          <a:ext cx="2057060" cy="4826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5395690</xdr:colOff>
      <xdr:row>6</xdr:row>
      <xdr:rowOff>450005</xdr:rowOff>
    </xdr:from>
    <xdr:to>
      <xdr:col>3</xdr:col>
      <xdr:colOff>7452750</xdr:colOff>
      <xdr:row>6</xdr:row>
      <xdr:rowOff>932605</xdr:rowOff>
    </xdr:to>
    <xdr:cxnSp macro="">
      <xdr:nvCxnSpPr>
        <xdr:cNvPr id="78" name="Straight Arrow Connector 77">
          <a:extLst>
            <a:ext uri="{FF2B5EF4-FFF2-40B4-BE49-F238E27FC236}">
              <a16:creationId xmlns:a16="http://schemas.microsoft.com/office/drawing/2014/main" id="{00000000-0008-0000-0000-00004E000000}"/>
            </a:ext>
          </a:extLst>
        </xdr:cNvPr>
        <xdr:cNvCxnSpPr>
          <a:cxnSpLocks/>
          <a:stCxn id="102" idx="6"/>
          <a:endCxn id="99" idx="2"/>
        </xdr:cNvCxnSpPr>
      </xdr:nvCxnSpPr>
      <xdr:spPr>
        <a:xfrm flipV="1">
          <a:off x="15055387" y="3586520"/>
          <a:ext cx="2057060" cy="4826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5395690</xdr:colOff>
      <xdr:row>5</xdr:row>
      <xdr:rowOff>1179678</xdr:rowOff>
    </xdr:from>
    <xdr:to>
      <xdr:col>3</xdr:col>
      <xdr:colOff>7452750</xdr:colOff>
      <xdr:row>7</xdr:row>
      <xdr:rowOff>356872</xdr:rowOff>
    </xdr:to>
    <xdr:cxnSp macro="">
      <xdr:nvCxnSpPr>
        <xdr:cNvPr id="79" name="Straight Arrow Connector 78">
          <a:extLst>
            <a:ext uri="{FF2B5EF4-FFF2-40B4-BE49-F238E27FC236}">
              <a16:creationId xmlns:a16="http://schemas.microsoft.com/office/drawing/2014/main" id="{00000000-0008-0000-0000-00004F000000}"/>
            </a:ext>
          </a:extLst>
        </xdr:cNvPr>
        <xdr:cNvCxnSpPr>
          <a:cxnSpLocks/>
          <a:stCxn id="101" idx="6"/>
          <a:endCxn id="100" idx="2"/>
        </xdr:cNvCxnSpPr>
      </xdr:nvCxnSpPr>
      <xdr:spPr>
        <a:xfrm>
          <a:off x="15055387" y="3103920"/>
          <a:ext cx="2057060" cy="14478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5395690</xdr:colOff>
      <xdr:row>6</xdr:row>
      <xdr:rowOff>932605</xdr:rowOff>
    </xdr:from>
    <xdr:to>
      <xdr:col>3</xdr:col>
      <xdr:colOff>7452750</xdr:colOff>
      <xdr:row>7</xdr:row>
      <xdr:rowOff>356872</xdr:rowOff>
    </xdr:to>
    <xdr:cxnSp macro="">
      <xdr:nvCxnSpPr>
        <xdr:cNvPr id="80" name="Straight Arrow Connector 79">
          <a:extLst>
            <a:ext uri="{FF2B5EF4-FFF2-40B4-BE49-F238E27FC236}">
              <a16:creationId xmlns:a16="http://schemas.microsoft.com/office/drawing/2014/main" id="{00000000-0008-0000-0000-000050000000}"/>
            </a:ext>
          </a:extLst>
        </xdr:cNvPr>
        <xdr:cNvCxnSpPr>
          <a:cxnSpLocks/>
          <a:stCxn id="102" idx="6"/>
          <a:endCxn id="100" idx="2"/>
        </xdr:cNvCxnSpPr>
      </xdr:nvCxnSpPr>
      <xdr:spPr>
        <a:xfrm>
          <a:off x="15055387" y="4069120"/>
          <a:ext cx="2057060" cy="4826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5395690</xdr:colOff>
      <xdr:row>7</xdr:row>
      <xdr:rowOff>356872</xdr:rowOff>
    </xdr:from>
    <xdr:to>
      <xdr:col>3</xdr:col>
      <xdr:colOff>7452750</xdr:colOff>
      <xdr:row>8</xdr:row>
      <xdr:rowOff>31290</xdr:rowOff>
    </xdr:to>
    <xdr:cxnSp macro="">
      <xdr:nvCxnSpPr>
        <xdr:cNvPr id="81" name="Straight Arrow Connector 80">
          <a:extLst>
            <a:ext uri="{FF2B5EF4-FFF2-40B4-BE49-F238E27FC236}">
              <a16:creationId xmlns:a16="http://schemas.microsoft.com/office/drawing/2014/main" id="{00000000-0008-0000-0000-000051000000}"/>
            </a:ext>
          </a:extLst>
        </xdr:cNvPr>
        <xdr:cNvCxnSpPr>
          <a:cxnSpLocks/>
          <a:stCxn id="103" idx="6"/>
          <a:endCxn id="100" idx="2"/>
        </xdr:cNvCxnSpPr>
      </xdr:nvCxnSpPr>
      <xdr:spPr>
        <a:xfrm flipV="1">
          <a:off x="15055387" y="4551720"/>
          <a:ext cx="2057060" cy="4826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5395690</xdr:colOff>
      <xdr:row>6</xdr:row>
      <xdr:rowOff>450005</xdr:rowOff>
    </xdr:from>
    <xdr:to>
      <xdr:col>3</xdr:col>
      <xdr:colOff>7452750</xdr:colOff>
      <xdr:row>8</xdr:row>
      <xdr:rowOff>31290</xdr:rowOff>
    </xdr:to>
    <xdr:cxnSp macro="">
      <xdr:nvCxnSpPr>
        <xdr:cNvPr id="82" name="Straight Arrow Connector 81">
          <a:extLst>
            <a:ext uri="{FF2B5EF4-FFF2-40B4-BE49-F238E27FC236}">
              <a16:creationId xmlns:a16="http://schemas.microsoft.com/office/drawing/2014/main" id="{00000000-0008-0000-0000-000052000000}"/>
            </a:ext>
          </a:extLst>
        </xdr:cNvPr>
        <xdr:cNvCxnSpPr>
          <a:cxnSpLocks/>
          <a:stCxn id="103" idx="6"/>
          <a:endCxn id="99" idx="2"/>
        </xdr:cNvCxnSpPr>
      </xdr:nvCxnSpPr>
      <xdr:spPr>
        <a:xfrm flipV="1">
          <a:off x="15055387" y="3586520"/>
          <a:ext cx="2057060" cy="14478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8172750</xdr:colOff>
      <xdr:row>6</xdr:row>
      <xdr:rowOff>450005</xdr:rowOff>
    </xdr:from>
    <xdr:to>
      <xdr:col>3</xdr:col>
      <xdr:colOff>9509810</xdr:colOff>
      <xdr:row>6</xdr:row>
      <xdr:rowOff>810005</xdr:rowOff>
    </xdr:to>
    <xdr:cxnSp macro="">
      <xdr:nvCxnSpPr>
        <xdr:cNvPr id="83" name="Straight Arrow Connector 82">
          <a:extLst>
            <a:ext uri="{FF2B5EF4-FFF2-40B4-BE49-F238E27FC236}">
              <a16:creationId xmlns:a16="http://schemas.microsoft.com/office/drawing/2014/main" id="{00000000-0008-0000-0000-000053000000}"/>
            </a:ext>
          </a:extLst>
        </xdr:cNvPr>
        <xdr:cNvCxnSpPr>
          <a:cxnSpLocks/>
          <a:stCxn id="99" idx="6"/>
          <a:endCxn id="61" idx="2"/>
        </xdr:cNvCxnSpPr>
      </xdr:nvCxnSpPr>
      <xdr:spPr>
        <a:xfrm>
          <a:off x="17832447" y="3586520"/>
          <a:ext cx="1337060" cy="3600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8172750</xdr:colOff>
      <xdr:row>6</xdr:row>
      <xdr:rowOff>810005</xdr:rowOff>
    </xdr:from>
    <xdr:to>
      <xdr:col>3</xdr:col>
      <xdr:colOff>9509810</xdr:colOff>
      <xdr:row>7</xdr:row>
      <xdr:rowOff>356872</xdr:rowOff>
    </xdr:to>
    <xdr:cxnSp macro="">
      <xdr:nvCxnSpPr>
        <xdr:cNvPr id="84" name="Straight Arrow Connector 83">
          <a:extLst>
            <a:ext uri="{FF2B5EF4-FFF2-40B4-BE49-F238E27FC236}">
              <a16:creationId xmlns:a16="http://schemas.microsoft.com/office/drawing/2014/main" id="{00000000-0008-0000-0000-000054000000}"/>
            </a:ext>
          </a:extLst>
        </xdr:cNvPr>
        <xdr:cNvCxnSpPr>
          <a:cxnSpLocks/>
          <a:stCxn id="100" idx="6"/>
          <a:endCxn id="61" idx="2"/>
        </xdr:cNvCxnSpPr>
      </xdr:nvCxnSpPr>
      <xdr:spPr>
        <a:xfrm flipV="1">
          <a:off x="17832447" y="3946520"/>
          <a:ext cx="1337060" cy="605200"/>
        </a:xfrm>
        <a:prstGeom prst="straightConnector1">
          <a:avLst/>
        </a:prstGeom>
        <a:ln w="6350">
          <a:solidFill>
            <a:schemeClr val="tx1"/>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5395690</xdr:colOff>
      <xdr:row>4</xdr:row>
      <xdr:rowOff>25903</xdr:rowOff>
    </xdr:from>
    <xdr:to>
      <xdr:col>3</xdr:col>
      <xdr:colOff>7452750</xdr:colOff>
      <xdr:row>6</xdr:row>
      <xdr:rowOff>450005</xdr:rowOff>
    </xdr:to>
    <xdr:cxnSp macro="">
      <xdr:nvCxnSpPr>
        <xdr:cNvPr id="85" name="Straight Arrow Connector 84">
          <a:extLst>
            <a:ext uri="{FF2B5EF4-FFF2-40B4-BE49-F238E27FC236}">
              <a16:creationId xmlns:a16="http://schemas.microsoft.com/office/drawing/2014/main" id="{00000000-0008-0000-0000-000055000000}"/>
            </a:ext>
          </a:extLst>
        </xdr:cNvPr>
        <xdr:cNvCxnSpPr>
          <a:cxnSpLocks/>
          <a:stCxn id="58" idx="6"/>
          <a:endCxn id="99" idx="2"/>
        </xdr:cNvCxnSpPr>
      </xdr:nvCxnSpPr>
      <xdr:spPr>
        <a:xfrm>
          <a:off x="15055387" y="1334388"/>
          <a:ext cx="2057060" cy="2252132"/>
        </a:xfrm>
        <a:prstGeom prst="straightConnector1">
          <a:avLst/>
        </a:prstGeom>
        <a:ln w="6350">
          <a:solidFill>
            <a:schemeClr val="bg1">
              <a:lumMod val="65000"/>
            </a:schemeClr>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5395690</xdr:colOff>
      <xdr:row>4</xdr:row>
      <xdr:rowOff>25903</xdr:rowOff>
    </xdr:from>
    <xdr:to>
      <xdr:col>3</xdr:col>
      <xdr:colOff>7452750</xdr:colOff>
      <xdr:row>7</xdr:row>
      <xdr:rowOff>356872</xdr:rowOff>
    </xdr:to>
    <xdr:cxnSp macro="">
      <xdr:nvCxnSpPr>
        <xdr:cNvPr id="86" name="Straight Arrow Connector 85">
          <a:extLst>
            <a:ext uri="{FF2B5EF4-FFF2-40B4-BE49-F238E27FC236}">
              <a16:creationId xmlns:a16="http://schemas.microsoft.com/office/drawing/2014/main" id="{00000000-0008-0000-0000-000056000000}"/>
            </a:ext>
          </a:extLst>
        </xdr:cNvPr>
        <xdr:cNvCxnSpPr>
          <a:cxnSpLocks/>
          <a:stCxn id="58" idx="6"/>
          <a:endCxn id="100" idx="2"/>
        </xdr:cNvCxnSpPr>
      </xdr:nvCxnSpPr>
      <xdr:spPr>
        <a:xfrm>
          <a:off x="15055387" y="1334388"/>
          <a:ext cx="2057060" cy="3217332"/>
        </a:xfrm>
        <a:prstGeom prst="straightConnector1">
          <a:avLst/>
        </a:prstGeom>
        <a:ln w="6350">
          <a:solidFill>
            <a:schemeClr val="bg1">
              <a:lumMod val="65000"/>
            </a:schemeClr>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8172750</xdr:colOff>
      <xdr:row>4</xdr:row>
      <xdr:rowOff>25903</xdr:rowOff>
    </xdr:from>
    <xdr:to>
      <xdr:col>3</xdr:col>
      <xdr:colOff>9509810</xdr:colOff>
      <xdr:row>6</xdr:row>
      <xdr:rowOff>810005</xdr:rowOff>
    </xdr:to>
    <xdr:cxnSp macro="">
      <xdr:nvCxnSpPr>
        <xdr:cNvPr id="87" name="Straight Arrow Connector 86">
          <a:extLst>
            <a:ext uri="{FF2B5EF4-FFF2-40B4-BE49-F238E27FC236}">
              <a16:creationId xmlns:a16="http://schemas.microsoft.com/office/drawing/2014/main" id="{00000000-0008-0000-0000-000057000000}"/>
            </a:ext>
          </a:extLst>
        </xdr:cNvPr>
        <xdr:cNvCxnSpPr>
          <a:cxnSpLocks/>
          <a:stCxn id="60" idx="6"/>
          <a:endCxn id="61" idx="2"/>
        </xdr:cNvCxnSpPr>
      </xdr:nvCxnSpPr>
      <xdr:spPr>
        <a:xfrm>
          <a:off x="17832447" y="1334388"/>
          <a:ext cx="1337060" cy="2612132"/>
        </a:xfrm>
        <a:prstGeom prst="straightConnector1">
          <a:avLst/>
        </a:prstGeom>
        <a:ln w="6350">
          <a:solidFill>
            <a:schemeClr val="bg1">
              <a:lumMod val="65000"/>
            </a:schemeClr>
          </a:solidFill>
          <a:tailEnd type="non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1881691</xdr:colOff>
      <xdr:row>2</xdr:row>
      <xdr:rowOff>192424</xdr:rowOff>
    </xdr:from>
    <xdr:to>
      <xdr:col>3</xdr:col>
      <xdr:colOff>8367158</xdr:colOff>
      <xdr:row>4</xdr:row>
      <xdr:rowOff>549564</xdr:rowOff>
    </xdr:to>
    <xdr:sp macro="" textlink="">
      <xdr:nvSpPr>
        <xdr:cNvPr id="88" name="Rounded Rectangle 87">
          <a:extLst>
            <a:ext uri="{FF2B5EF4-FFF2-40B4-BE49-F238E27FC236}">
              <a16:creationId xmlns:a16="http://schemas.microsoft.com/office/drawing/2014/main" id="{00000000-0008-0000-0000-000058000000}"/>
            </a:ext>
          </a:extLst>
        </xdr:cNvPr>
        <xdr:cNvSpPr/>
      </xdr:nvSpPr>
      <xdr:spPr>
        <a:xfrm>
          <a:off x="11541388" y="808182"/>
          <a:ext cx="6485467" cy="1049867"/>
        </a:xfrm>
        <a:prstGeom prst="roundRect">
          <a:avLst/>
        </a:prstGeom>
        <a:noFill/>
        <a:ln w="38100">
          <a:solidFill>
            <a:schemeClr val="bg1">
              <a:lumMod val="65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3</xdr:col>
      <xdr:colOff>1936890</xdr:colOff>
      <xdr:row>5</xdr:row>
      <xdr:rowOff>94379</xdr:rowOff>
    </xdr:from>
    <xdr:to>
      <xdr:col>3</xdr:col>
      <xdr:colOff>2986757</xdr:colOff>
      <xdr:row>8</xdr:row>
      <xdr:rowOff>1116586</xdr:rowOff>
    </xdr:to>
    <xdr:sp macro="" textlink="">
      <xdr:nvSpPr>
        <xdr:cNvPr id="89" name="Rounded Rectangle 88">
          <a:extLst>
            <a:ext uri="{FF2B5EF4-FFF2-40B4-BE49-F238E27FC236}">
              <a16:creationId xmlns:a16="http://schemas.microsoft.com/office/drawing/2014/main" id="{00000000-0008-0000-0000-000059000000}"/>
            </a:ext>
          </a:extLst>
        </xdr:cNvPr>
        <xdr:cNvSpPr/>
      </xdr:nvSpPr>
      <xdr:spPr>
        <a:xfrm rot="16200000">
          <a:off x="10071023" y="3544185"/>
          <a:ext cx="4100995" cy="1049867"/>
        </a:xfrm>
        <a:prstGeom prst="roundRect">
          <a:avLst/>
        </a:prstGeom>
        <a:noFill/>
        <a:ln w="38100">
          <a:solidFill>
            <a:schemeClr val="tx1">
              <a:lumMod val="75000"/>
              <a:lumOff val="25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3</xdr:col>
      <xdr:colOff>4498224</xdr:colOff>
      <xdr:row>5</xdr:row>
      <xdr:rowOff>636243</xdr:rowOff>
    </xdr:from>
    <xdr:to>
      <xdr:col>3</xdr:col>
      <xdr:colOff>5548091</xdr:colOff>
      <xdr:row>8</xdr:row>
      <xdr:rowOff>581622</xdr:rowOff>
    </xdr:to>
    <xdr:sp macro="" textlink="">
      <xdr:nvSpPr>
        <xdr:cNvPr id="90" name="Rounded Rectangle 89">
          <a:extLst>
            <a:ext uri="{FF2B5EF4-FFF2-40B4-BE49-F238E27FC236}">
              <a16:creationId xmlns:a16="http://schemas.microsoft.com/office/drawing/2014/main" id="{00000000-0008-0000-0000-00005A000000}"/>
            </a:ext>
          </a:extLst>
        </xdr:cNvPr>
        <xdr:cNvSpPr/>
      </xdr:nvSpPr>
      <xdr:spPr>
        <a:xfrm rot="16200000">
          <a:off x="13170771" y="3547635"/>
          <a:ext cx="3024167" cy="1049867"/>
        </a:xfrm>
        <a:prstGeom prst="roundRect">
          <a:avLst/>
        </a:prstGeom>
        <a:noFill/>
        <a:ln w="38100">
          <a:solidFill>
            <a:schemeClr val="tx1">
              <a:lumMod val="75000"/>
              <a:lumOff val="25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3</xdr:col>
      <xdr:colOff>7287817</xdr:colOff>
      <xdr:row>5</xdr:row>
      <xdr:rowOff>1144243</xdr:rowOff>
    </xdr:from>
    <xdr:to>
      <xdr:col>3</xdr:col>
      <xdr:colOff>8337684</xdr:colOff>
      <xdr:row>8</xdr:row>
      <xdr:rowOff>82088</xdr:rowOff>
    </xdr:to>
    <xdr:sp macro="" textlink="">
      <xdr:nvSpPr>
        <xdr:cNvPr id="91" name="Rounded Rectangle 90">
          <a:extLst>
            <a:ext uri="{FF2B5EF4-FFF2-40B4-BE49-F238E27FC236}">
              <a16:creationId xmlns:a16="http://schemas.microsoft.com/office/drawing/2014/main" id="{00000000-0008-0000-0000-00005B000000}"/>
            </a:ext>
          </a:extLst>
        </xdr:cNvPr>
        <xdr:cNvSpPr/>
      </xdr:nvSpPr>
      <xdr:spPr>
        <a:xfrm rot="16200000">
          <a:off x="16464131" y="3551868"/>
          <a:ext cx="2016633" cy="1049867"/>
        </a:xfrm>
        <a:prstGeom prst="roundRect">
          <a:avLst/>
        </a:prstGeom>
        <a:noFill/>
        <a:ln w="38100">
          <a:solidFill>
            <a:schemeClr val="tx1">
              <a:lumMod val="75000"/>
              <a:lumOff val="25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3</xdr:col>
      <xdr:colOff>9349270</xdr:colOff>
      <xdr:row>6</xdr:row>
      <xdr:rowOff>327893</xdr:rowOff>
    </xdr:from>
    <xdr:to>
      <xdr:col>3</xdr:col>
      <xdr:colOff>10399137</xdr:colOff>
      <xdr:row>7</xdr:row>
      <xdr:rowOff>234271</xdr:rowOff>
    </xdr:to>
    <xdr:sp macro="" textlink="">
      <xdr:nvSpPr>
        <xdr:cNvPr id="92" name="Rounded Rectangle 91">
          <a:extLst>
            <a:ext uri="{FF2B5EF4-FFF2-40B4-BE49-F238E27FC236}">
              <a16:creationId xmlns:a16="http://schemas.microsoft.com/office/drawing/2014/main" id="{00000000-0008-0000-0000-00005C000000}"/>
            </a:ext>
          </a:extLst>
        </xdr:cNvPr>
        <xdr:cNvSpPr/>
      </xdr:nvSpPr>
      <xdr:spPr>
        <a:xfrm rot="16200000">
          <a:off x="19051545" y="3421830"/>
          <a:ext cx="964711" cy="1049867"/>
        </a:xfrm>
        <a:prstGeom prst="roundRect">
          <a:avLst/>
        </a:prstGeom>
        <a:noFill/>
        <a:ln w="38100">
          <a:solidFill>
            <a:schemeClr val="tx1">
              <a:lumMod val="75000"/>
              <a:lumOff val="25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3</xdr:col>
      <xdr:colOff>1496625</xdr:colOff>
      <xdr:row>8</xdr:row>
      <xdr:rowOff>1308484</xdr:rowOff>
    </xdr:from>
    <xdr:to>
      <xdr:col>3</xdr:col>
      <xdr:colOff>3401293</xdr:colOff>
      <xdr:row>12</xdr:row>
      <xdr:rowOff>115044</xdr:rowOff>
    </xdr:to>
    <xdr:sp macro="" textlink="">
      <xdr:nvSpPr>
        <xdr:cNvPr id="93" name="TextBox 115">
          <a:extLst>
            <a:ext uri="{FF2B5EF4-FFF2-40B4-BE49-F238E27FC236}">
              <a16:creationId xmlns:a16="http://schemas.microsoft.com/office/drawing/2014/main" id="{00000000-0008-0000-0000-00005D000000}"/>
            </a:ext>
          </a:extLst>
        </xdr:cNvPr>
        <xdr:cNvSpPr txBox="1"/>
      </xdr:nvSpPr>
      <xdr:spPr>
        <a:xfrm>
          <a:off x="11156322" y="6311514"/>
          <a:ext cx="1904668" cy="123110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b="1"/>
            <a:t>Input layer</a:t>
          </a:r>
        </a:p>
        <a:p>
          <a:r>
            <a:rPr lang="en-US" sz="1400"/>
            <a:t>Made up of four features and an intercept for each training example.</a:t>
          </a:r>
        </a:p>
      </xdr:txBody>
    </xdr:sp>
    <xdr:clientData/>
  </xdr:twoCellAnchor>
  <xdr:twoCellAnchor>
    <xdr:from>
      <xdr:col>3</xdr:col>
      <xdr:colOff>4053564</xdr:colOff>
      <xdr:row>8</xdr:row>
      <xdr:rowOff>859753</xdr:rowOff>
    </xdr:from>
    <xdr:to>
      <xdr:col>3</xdr:col>
      <xdr:colOff>5958232</xdr:colOff>
      <xdr:row>15</xdr:row>
      <xdr:rowOff>112309</xdr:rowOff>
    </xdr:to>
    <xdr:sp macro="" textlink="">
      <xdr:nvSpPr>
        <xdr:cNvPr id="94" name="TextBox 116">
          <a:extLst>
            <a:ext uri="{FF2B5EF4-FFF2-40B4-BE49-F238E27FC236}">
              <a16:creationId xmlns:a16="http://schemas.microsoft.com/office/drawing/2014/main" id="{00000000-0008-0000-0000-00005E000000}"/>
            </a:ext>
          </a:extLst>
        </xdr:cNvPr>
        <xdr:cNvSpPr txBox="1"/>
      </xdr:nvSpPr>
      <xdr:spPr>
        <a:xfrm>
          <a:off x="13713261" y="5862783"/>
          <a:ext cx="1904668" cy="252376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b="1"/>
            <a:t>Hidden layer</a:t>
          </a:r>
        </a:p>
        <a:p>
          <a:r>
            <a:rPr lang="en-US" sz="1400"/>
            <a:t>Made up of 3 neurons, each with (4+1) weights to multiply by each feature + intercept from the input layer. Each of these outputs is then transformed by a non-linear activation function (e.g. sigmoid).</a:t>
          </a:r>
        </a:p>
      </xdr:txBody>
    </xdr:sp>
    <xdr:clientData/>
  </xdr:twoCellAnchor>
  <xdr:twoCellAnchor>
    <xdr:from>
      <xdr:col>3</xdr:col>
      <xdr:colOff>6847552</xdr:colOff>
      <xdr:row>8</xdr:row>
      <xdr:rowOff>327288</xdr:rowOff>
    </xdr:from>
    <xdr:to>
      <xdr:col>3</xdr:col>
      <xdr:colOff>8752220</xdr:colOff>
      <xdr:row>14</xdr:row>
      <xdr:rowOff>260933</xdr:rowOff>
    </xdr:to>
    <xdr:sp macro="" textlink="">
      <xdr:nvSpPr>
        <xdr:cNvPr id="95" name="TextBox 117">
          <a:extLst>
            <a:ext uri="{FF2B5EF4-FFF2-40B4-BE49-F238E27FC236}">
              <a16:creationId xmlns:a16="http://schemas.microsoft.com/office/drawing/2014/main" id="{00000000-0008-0000-0000-00005F000000}"/>
            </a:ext>
          </a:extLst>
        </xdr:cNvPr>
        <xdr:cNvSpPr txBox="1"/>
      </xdr:nvSpPr>
      <xdr:spPr>
        <a:xfrm>
          <a:off x="16507249" y="5330318"/>
          <a:ext cx="1904668" cy="28007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b="1"/>
            <a:t>Hidden layer</a:t>
          </a:r>
        </a:p>
        <a:p>
          <a:r>
            <a:rPr lang="en-US" sz="1400"/>
            <a:t>Made up of 2 neurons, each with (3+1) weights to multiply by each feature + intercept from the prior hidden layer. Each of these outputs is then transformed by a non-linear activation function (e.g. tanh).</a:t>
          </a:r>
        </a:p>
        <a:p>
          <a:pPr algn="ctr"/>
          <a:endParaRPr lang="en-US" b="1"/>
        </a:p>
      </xdr:txBody>
    </xdr:sp>
    <xdr:clientData/>
  </xdr:twoCellAnchor>
  <xdr:twoCellAnchor>
    <xdr:from>
      <xdr:col>3</xdr:col>
      <xdr:colOff>8917139</xdr:colOff>
      <xdr:row>7</xdr:row>
      <xdr:rowOff>471672</xdr:rowOff>
    </xdr:from>
    <xdr:to>
      <xdr:col>3</xdr:col>
      <xdr:colOff>10821807</xdr:colOff>
      <xdr:row>14</xdr:row>
      <xdr:rowOff>28022</xdr:rowOff>
    </xdr:to>
    <xdr:sp macro="" textlink="">
      <xdr:nvSpPr>
        <xdr:cNvPr id="96" name="TextBox 118">
          <a:extLst>
            <a:ext uri="{FF2B5EF4-FFF2-40B4-BE49-F238E27FC236}">
              <a16:creationId xmlns:a16="http://schemas.microsoft.com/office/drawing/2014/main" id="{00000000-0008-0000-0000-000060000000}"/>
            </a:ext>
          </a:extLst>
        </xdr:cNvPr>
        <xdr:cNvSpPr txBox="1"/>
      </xdr:nvSpPr>
      <xdr:spPr>
        <a:xfrm>
          <a:off x="18576836" y="4666520"/>
          <a:ext cx="1904668" cy="32316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b="1"/>
            <a:t>Output layer</a:t>
          </a:r>
        </a:p>
        <a:p>
          <a:r>
            <a:rPr lang="en-US" sz="1400"/>
            <a:t>Made up of 1 neuron (as only making one prediction per training example) with (2+1) weights to multiply by each feature + intercept from the prior hidden layer. Each of these outputs is then transformed by a non-linear activation function (e.g. tanh).</a:t>
          </a:r>
        </a:p>
        <a:p>
          <a:pPr algn="ctr"/>
          <a:endParaRPr lang="en-US" b="1"/>
        </a:p>
      </xdr:txBody>
    </xdr:sp>
    <xdr:clientData/>
  </xdr:twoCellAnchor>
  <xdr:twoCellAnchor>
    <xdr:from>
      <xdr:col>3</xdr:col>
      <xdr:colOff>404091</xdr:colOff>
      <xdr:row>3</xdr:row>
      <xdr:rowOff>44592</xdr:rowOff>
    </xdr:from>
    <xdr:to>
      <xdr:col>3</xdr:col>
      <xdr:colOff>1797024</xdr:colOff>
      <xdr:row>4</xdr:row>
      <xdr:rowOff>221500</xdr:rowOff>
    </xdr:to>
    <xdr:sp macro="" textlink="">
      <xdr:nvSpPr>
        <xdr:cNvPr id="97" name="TextBox 119">
          <a:extLst>
            <a:ext uri="{FF2B5EF4-FFF2-40B4-BE49-F238E27FC236}">
              <a16:creationId xmlns:a16="http://schemas.microsoft.com/office/drawing/2014/main" id="{00000000-0008-0000-0000-000061000000}"/>
            </a:ext>
          </a:extLst>
        </xdr:cNvPr>
        <xdr:cNvSpPr txBox="1"/>
      </xdr:nvSpPr>
      <xdr:spPr>
        <a:xfrm>
          <a:off x="10063788" y="1160653"/>
          <a:ext cx="1392933" cy="36933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a:t>Intercept</a:t>
          </a:r>
        </a:p>
      </xdr:txBody>
    </xdr:sp>
    <xdr:clientData/>
  </xdr:twoCellAnchor>
  <xdr:twoCellAnchor>
    <xdr:from>
      <xdr:col>3</xdr:col>
      <xdr:colOff>455223</xdr:colOff>
      <xdr:row>6</xdr:row>
      <xdr:rowOff>810005</xdr:rowOff>
    </xdr:from>
    <xdr:to>
      <xdr:col>3</xdr:col>
      <xdr:colOff>1848156</xdr:colOff>
      <xdr:row>7</xdr:row>
      <xdr:rowOff>121004</xdr:rowOff>
    </xdr:to>
    <xdr:sp macro="" textlink="">
      <xdr:nvSpPr>
        <xdr:cNvPr id="98" name="TextBox 120">
          <a:extLst>
            <a:ext uri="{FF2B5EF4-FFF2-40B4-BE49-F238E27FC236}">
              <a16:creationId xmlns:a16="http://schemas.microsoft.com/office/drawing/2014/main" id="{00000000-0008-0000-0000-000062000000}"/>
            </a:ext>
          </a:extLst>
        </xdr:cNvPr>
        <xdr:cNvSpPr txBox="1"/>
      </xdr:nvSpPr>
      <xdr:spPr>
        <a:xfrm>
          <a:off x="10114920" y="3946520"/>
          <a:ext cx="1392933" cy="36933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a:t>Features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812800</xdr:colOff>
      <xdr:row>7</xdr:row>
      <xdr:rowOff>139700</xdr:rowOff>
    </xdr:from>
    <xdr:to>
      <xdr:col>16</xdr:col>
      <xdr:colOff>463970</xdr:colOff>
      <xdr:row>28</xdr:row>
      <xdr:rowOff>38100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
        <a:stretch>
          <a:fillRect/>
        </a:stretch>
      </xdr:blipFill>
      <xdr:spPr>
        <a:xfrm>
          <a:off x="812800" y="1473200"/>
          <a:ext cx="12859170" cy="3898900"/>
        </a:xfrm>
        <a:prstGeom prst="rect">
          <a:avLst/>
        </a:prstGeom>
      </xdr:spPr>
    </xdr:pic>
    <xdr:clientData/>
  </xdr:twoCellAnchor>
  <xdr:twoCellAnchor>
    <xdr:from>
      <xdr:col>5</xdr:col>
      <xdr:colOff>160600</xdr:colOff>
      <xdr:row>2</xdr:row>
      <xdr:rowOff>9868</xdr:rowOff>
    </xdr:from>
    <xdr:to>
      <xdr:col>6</xdr:col>
      <xdr:colOff>559215</xdr:colOff>
      <xdr:row>5</xdr:row>
      <xdr:rowOff>146254</xdr:rowOff>
    </xdr:to>
    <xdr:sp macro="" textlink="">
      <xdr:nvSpPr>
        <xdr:cNvPr id="4" name="TextBox 9">
          <a:extLst>
            <a:ext uri="{FF2B5EF4-FFF2-40B4-BE49-F238E27FC236}">
              <a16:creationId xmlns:a16="http://schemas.microsoft.com/office/drawing/2014/main" id="{00000000-0008-0000-0100-000004000000}"/>
            </a:ext>
          </a:extLst>
        </xdr:cNvPr>
        <xdr:cNvSpPr txBox="1"/>
      </xdr:nvSpPr>
      <xdr:spPr>
        <a:xfrm>
          <a:off x="4288100" y="390868"/>
          <a:ext cx="1224115" cy="7078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t>Start here:</a:t>
          </a:r>
          <a:r>
            <a:rPr lang="en-US" sz="1000"/>
            <a:t> click this to run one iteration of forward and back propagation</a:t>
          </a:r>
        </a:p>
      </xdr:txBody>
    </xdr:sp>
    <xdr:clientData/>
  </xdr:twoCellAnchor>
  <xdr:twoCellAnchor>
    <xdr:from>
      <xdr:col>6</xdr:col>
      <xdr:colOff>537090</xdr:colOff>
      <xdr:row>0</xdr:row>
      <xdr:rowOff>114300</xdr:rowOff>
    </xdr:from>
    <xdr:to>
      <xdr:col>8</xdr:col>
      <xdr:colOff>110199</xdr:colOff>
      <xdr:row>6</xdr:row>
      <xdr:rowOff>159254</xdr:rowOff>
    </xdr:to>
    <xdr:sp macro="" textlink="">
      <xdr:nvSpPr>
        <xdr:cNvPr id="5" name="TextBox 10">
          <a:extLst>
            <a:ext uri="{FF2B5EF4-FFF2-40B4-BE49-F238E27FC236}">
              <a16:creationId xmlns:a16="http://schemas.microsoft.com/office/drawing/2014/main" id="{00000000-0008-0000-0100-000005000000}"/>
            </a:ext>
          </a:extLst>
        </xdr:cNvPr>
        <xdr:cNvSpPr txBox="1"/>
      </xdr:nvSpPr>
      <xdr:spPr>
        <a:xfrm>
          <a:off x="5490090" y="114300"/>
          <a:ext cx="1224109" cy="11879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t>Click this to run one epoch  </a:t>
          </a:r>
          <a:r>
            <a:rPr lang="en-US" sz="1000"/>
            <a:t>(forward and back propagation across all the batches in the entire training set)</a:t>
          </a:r>
        </a:p>
      </xdr:txBody>
    </xdr:sp>
    <xdr:clientData/>
  </xdr:twoCellAnchor>
  <xdr:twoCellAnchor>
    <xdr:from>
      <xdr:col>7</xdr:col>
      <xdr:colOff>332110</xdr:colOff>
      <xdr:row>6</xdr:row>
      <xdr:rowOff>16459</xdr:rowOff>
    </xdr:from>
    <xdr:to>
      <xdr:col>7</xdr:col>
      <xdr:colOff>332110</xdr:colOff>
      <xdr:row>7</xdr:row>
      <xdr:rowOff>170670</xdr:rowOff>
    </xdr:to>
    <xdr:cxnSp macro="">
      <xdr:nvCxnSpPr>
        <xdr:cNvPr id="6" name="Straight Arrow Connector 5">
          <a:extLst>
            <a:ext uri="{FF2B5EF4-FFF2-40B4-BE49-F238E27FC236}">
              <a16:creationId xmlns:a16="http://schemas.microsoft.com/office/drawing/2014/main" id="{00000000-0008-0000-0100-000006000000}"/>
            </a:ext>
          </a:extLst>
        </xdr:cNvPr>
        <xdr:cNvCxnSpPr>
          <a:cxnSpLocks/>
        </xdr:cNvCxnSpPr>
      </xdr:nvCxnSpPr>
      <xdr:spPr>
        <a:xfrm>
          <a:off x="6110610" y="1159459"/>
          <a:ext cx="0" cy="34471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110200</xdr:colOff>
      <xdr:row>1</xdr:row>
      <xdr:rowOff>141853</xdr:rowOff>
    </xdr:from>
    <xdr:to>
      <xdr:col>9</xdr:col>
      <xdr:colOff>405582</xdr:colOff>
      <xdr:row>6</xdr:row>
      <xdr:rowOff>64273</xdr:rowOff>
    </xdr:to>
    <xdr:sp macro="" textlink="">
      <xdr:nvSpPr>
        <xdr:cNvPr id="7" name="TextBox 15">
          <a:extLst>
            <a:ext uri="{FF2B5EF4-FFF2-40B4-BE49-F238E27FC236}">
              <a16:creationId xmlns:a16="http://schemas.microsoft.com/office/drawing/2014/main" id="{00000000-0008-0000-0100-000007000000}"/>
            </a:ext>
          </a:extLst>
        </xdr:cNvPr>
        <xdr:cNvSpPr txBox="1"/>
      </xdr:nvSpPr>
      <xdr:spPr>
        <a:xfrm>
          <a:off x="6714200" y="332353"/>
          <a:ext cx="1120882" cy="87492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a:t>Randomly initialize the weights used in each neuron (start again)</a:t>
          </a:r>
        </a:p>
      </xdr:txBody>
    </xdr:sp>
    <xdr:clientData/>
  </xdr:twoCellAnchor>
  <xdr:twoCellAnchor>
    <xdr:from>
      <xdr:col>8</xdr:col>
      <xdr:colOff>611653</xdr:colOff>
      <xdr:row>6</xdr:row>
      <xdr:rowOff>16459</xdr:rowOff>
    </xdr:from>
    <xdr:to>
      <xdr:col>8</xdr:col>
      <xdr:colOff>611653</xdr:colOff>
      <xdr:row>7</xdr:row>
      <xdr:rowOff>126716</xdr:rowOff>
    </xdr:to>
    <xdr:cxnSp macro="">
      <xdr:nvCxnSpPr>
        <xdr:cNvPr id="8" name="Straight Arrow Connector 7">
          <a:extLst>
            <a:ext uri="{FF2B5EF4-FFF2-40B4-BE49-F238E27FC236}">
              <a16:creationId xmlns:a16="http://schemas.microsoft.com/office/drawing/2014/main" id="{00000000-0008-0000-0100-000008000000}"/>
            </a:ext>
          </a:extLst>
        </xdr:cNvPr>
        <xdr:cNvCxnSpPr>
          <a:cxnSpLocks/>
        </xdr:cNvCxnSpPr>
      </xdr:nvCxnSpPr>
      <xdr:spPr>
        <a:xfrm>
          <a:off x="7215653" y="1159459"/>
          <a:ext cx="0" cy="30075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263009</xdr:colOff>
      <xdr:row>2</xdr:row>
      <xdr:rowOff>39364</xdr:rowOff>
    </xdr:from>
    <xdr:to>
      <xdr:col>10</xdr:col>
      <xdr:colOff>558391</xdr:colOff>
      <xdr:row>5</xdr:row>
      <xdr:rowOff>175750</xdr:rowOff>
    </xdr:to>
    <xdr:sp macro="" textlink="">
      <xdr:nvSpPr>
        <xdr:cNvPr id="9" name="TextBox 21">
          <a:extLst>
            <a:ext uri="{FF2B5EF4-FFF2-40B4-BE49-F238E27FC236}">
              <a16:creationId xmlns:a16="http://schemas.microsoft.com/office/drawing/2014/main" id="{00000000-0008-0000-0100-000009000000}"/>
            </a:ext>
          </a:extLst>
        </xdr:cNvPr>
        <xdr:cNvSpPr txBox="1"/>
      </xdr:nvSpPr>
      <xdr:spPr>
        <a:xfrm>
          <a:off x="7692509" y="420364"/>
          <a:ext cx="1120882" cy="7078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a:t>Paste in new randomly generated training data</a:t>
          </a:r>
        </a:p>
      </xdr:txBody>
    </xdr:sp>
    <xdr:clientData/>
  </xdr:twoCellAnchor>
  <xdr:twoCellAnchor>
    <xdr:from>
      <xdr:col>9</xdr:col>
      <xdr:colOff>764462</xdr:colOff>
      <xdr:row>6</xdr:row>
      <xdr:rowOff>15570</xdr:rowOff>
    </xdr:from>
    <xdr:to>
      <xdr:col>9</xdr:col>
      <xdr:colOff>764462</xdr:colOff>
      <xdr:row>7</xdr:row>
      <xdr:rowOff>125827</xdr:rowOff>
    </xdr:to>
    <xdr:cxnSp macro="">
      <xdr:nvCxnSpPr>
        <xdr:cNvPr id="10" name="Straight Arrow Connector 9">
          <a:extLst>
            <a:ext uri="{FF2B5EF4-FFF2-40B4-BE49-F238E27FC236}">
              <a16:creationId xmlns:a16="http://schemas.microsoft.com/office/drawing/2014/main" id="{00000000-0008-0000-0100-00000A000000}"/>
            </a:ext>
          </a:extLst>
        </xdr:cNvPr>
        <xdr:cNvCxnSpPr>
          <a:cxnSpLocks/>
        </xdr:cNvCxnSpPr>
      </xdr:nvCxnSpPr>
      <xdr:spPr>
        <a:xfrm>
          <a:off x="8193962" y="1158570"/>
          <a:ext cx="0" cy="30075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558391</xdr:colOff>
      <xdr:row>2</xdr:row>
      <xdr:rowOff>26585</xdr:rowOff>
    </xdr:from>
    <xdr:to>
      <xdr:col>12</xdr:col>
      <xdr:colOff>28273</xdr:colOff>
      <xdr:row>5</xdr:row>
      <xdr:rowOff>162971</xdr:rowOff>
    </xdr:to>
    <xdr:sp macro="" textlink="">
      <xdr:nvSpPr>
        <xdr:cNvPr id="11" name="TextBox 23">
          <a:extLst>
            <a:ext uri="{FF2B5EF4-FFF2-40B4-BE49-F238E27FC236}">
              <a16:creationId xmlns:a16="http://schemas.microsoft.com/office/drawing/2014/main" id="{00000000-0008-0000-0100-00000B000000}"/>
            </a:ext>
          </a:extLst>
        </xdr:cNvPr>
        <xdr:cNvSpPr txBox="1"/>
      </xdr:nvSpPr>
      <xdr:spPr>
        <a:xfrm>
          <a:off x="8813391" y="407585"/>
          <a:ext cx="1120882" cy="70788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a:t>Paste in new randomly generated validation data</a:t>
          </a:r>
        </a:p>
      </xdr:txBody>
    </xdr:sp>
    <xdr:clientData/>
  </xdr:twoCellAnchor>
  <xdr:twoCellAnchor>
    <xdr:from>
      <xdr:col>11</xdr:col>
      <xdr:colOff>234344</xdr:colOff>
      <xdr:row>6</xdr:row>
      <xdr:rowOff>2791</xdr:rowOff>
    </xdr:from>
    <xdr:to>
      <xdr:col>11</xdr:col>
      <xdr:colOff>234344</xdr:colOff>
      <xdr:row>7</xdr:row>
      <xdr:rowOff>113048</xdr:rowOff>
    </xdr:to>
    <xdr:cxnSp macro="">
      <xdr:nvCxnSpPr>
        <xdr:cNvPr id="12" name="Straight Arrow Connector 11">
          <a:extLst>
            <a:ext uri="{FF2B5EF4-FFF2-40B4-BE49-F238E27FC236}">
              <a16:creationId xmlns:a16="http://schemas.microsoft.com/office/drawing/2014/main" id="{00000000-0008-0000-0100-00000C000000}"/>
            </a:ext>
          </a:extLst>
        </xdr:cNvPr>
        <xdr:cNvCxnSpPr>
          <a:cxnSpLocks/>
        </xdr:cNvCxnSpPr>
      </xdr:nvCxnSpPr>
      <xdr:spPr>
        <a:xfrm>
          <a:off x="9314844" y="1145791"/>
          <a:ext cx="0" cy="30075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711200</xdr:colOff>
      <xdr:row>1</xdr:row>
      <xdr:rowOff>56825</xdr:rowOff>
    </xdr:from>
    <xdr:to>
      <xdr:col>13</xdr:col>
      <xdr:colOff>181082</xdr:colOff>
      <xdr:row>5</xdr:row>
      <xdr:rowOff>156599</xdr:rowOff>
    </xdr:to>
    <xdr:sp macro="" textlink="">
      <xdr:nvSpPr>
        <xdr:cNvPr id="13" name="TextBox 25">
          <a:extLst>
            <a:ext uri="{FF2B5EF4-FFF2-40B4-BE49-F238E27FC236}">
              <a16:creationId xmlns:a16="http://schemas.microsoft.com/office/drawing/2014/main" id="{00000000-0008-0000-0100-00000D000000}"/>
            </a:ext>
          </a:extLst>
        </xdr:cNvPr>
        <xdr:cNvSpPr txBox="1"/>
      </xdr:nvSpPr>
      <xdr:spPr>
        <a:xfrm>
          <a:off x="9791700" y="247325"/>
          <a:ext cx="1120882" cy="8617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a:t>Same as before, but also record weights to see how they change over time</a:t>
          </a:r>
        </a:p>
      </xdr:txBody>
    </xdr:sp>
    <xdr:clientData/>
  </xdr:twoCellAnchor>
  <xdr:twoCellAnchor>
    <xdr:from>
      <xdr:col>12</xdr:col>
      <xdr:colOff>387153</xdr:colOff>
      <xdr:row>5</xdr:row>
      <xdr:rowOff>180512</xdr:rowOff>
    </xdr:from>
    <xdr:to>
      <xdr:col>12</xdr:col>
      <xdr:colOff>387153</xdr:colOff>
      <xdr:row>7</xdr:row>
      <xdr:rowOff>100269</xdr:rowOff>
    </xdr:to>
    <xdr:cxnSp macro="">
      <xdr:nvCxnSpPr>
        <xdr:cNvPr id="14" name="Straight Arrow Connector 13">
          <a:extLst>
            <a:ext uri="{FF2B5EF4-FFF2-40B4-BE49-F238E27FC236}">
              <a16:creationId xmlns:a16="http://schemas.microsoft.com/office/drawing/2014/main" id="{00000000-0008-0000-0100-00000E000000}"/>
            </a:ext>
          </a:extLst>
        </xdr:cNvPr>
        <xdr:cNvCxnSpPr>
          <a:cxnSpLocks/>
        </xdr:cNvCxnSpPr>
      </xdr:nvCxnSpPr>
      <xdr:spPr>
        <a:xfrm>
          <a:off x="10293153" y="1133012"/>
          <a:ext cx="0" cy="30075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122094</xdr:colOff>
      <xdr:row>1</xdr:row>
      <xdr:rowOff>57969</xdr:rowOff>
    </xdr:from>
    <xdr:to>
      <xdr:col>14</xdr:col>
      <xdr:colOff>417476</xdr:colOff>
      <xdr:row>5</xdr:row>
      <xdr:rowOff>157743</xdr:rowOff>
    </xdr:to>
    <xdr:sp macro="" textlink="">
      <xdr:nvSpPr>
        <xdr:cNvPr id="15" name="TextBox 27">
          <a:extLst>
            <a:ext uri="{FF2B5EF4-FFF2-40B4-BE49-F238E27FC236}">
              <a16:creationId xmlns:a16="http://schemas.microsoft.com/office/drawing/2014/main" id="{00000000-0008-0000-0100-00000F000000}"/>
            </a:ext>
          </a:extLst>
        </xdr:cNvPr>
        <xdr:cNvSpPr txBox="1"/>
      </xdr:nvSpPr>
      <xdr:spPr>
        <a:xfrm>
          <a:off x="10853594" y="248469"/>
          <a:ext cx="1120882" cy="86177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a:t>Same as before, but also record weights to see how they change over time</a:t>
          </a:r>
        </a:p>
      </xdr:txBody>
    </xdr:sp>
    <xdr:clientData/>
  </xdr:twoCellAnchor>
  <xdr:twoCellAnchor>
    <xdr:from>
      <xdr:col>13</xdr:col>
      <xdr:colOff>623547</xdr:colOff>
      <xdr:row>5</xdr:row>
      <xdr:rowOff>181656</xdr:rowOff>
    </xdr:from>
    <xdr:to>
      <xdr:col>13</xdr:col>
      <xdr:colOff>623547</xdr:colOff>
      <xdr:row>7</xdr:row>
      <xdr:rowOff>101413</xdr:rowOff>
    </xdr:to>
    <xdr:cxnSp macro="">
      <xdr:nvCxnSpPr>
        <xdr:cNvPr id="16" name="Straight Arrow Connector 15">
          <a:extLst>
            <a:ext uri="{FF2B5EF4-FFF2-40B4-BE49-F238E27FC236}">
              <a16:creationId xmlns:a16="http://schemas.microsoft.com/office/drawing/2014/main" id="{00000000-0008-0000-0100-000010000000}"/>
            </a:ext>
          </a:extLst>
        </xdr:cNvPr>
        <xdr:cNvCxnSpPr>
          <a:cxnSpLocks/>
        </xdr:cNvCxnSpPr>
      </xdr:nvCxnSpPr>
      <xdr:spPr>
        <a:xfrm>
          <a:off x="11355047" y="1134156"/>
          <a:ext cx="0" cy="300757"/>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102820</xdr:colOff>
      <xdr:row>6</xdr:row>
      <xdr:rowOff>22369</xdr:rowOff>
    </xdr:from>
    <xdr:to>
      <xdr:col>6</xdr:col>
      <xdr:colOff>102820</xdr:colOff>
      <xdr:row>7</xdr:row>
      <xdr:rowOff>176580</xdr:rowOff>
    </xdr:to>
    <xdr:cxnSp macro="">
      <xdr:nvCxnSpPr>
        <xdr:cNvPr id="17" name="Straight Arrow Connector 16">
          <a:extLst>
            <a:ext uri="{FF2B5EF4-FFF2-40B4-BE49-F238E27FC236}">
              <a16:creationId xmlns:a16="http://schemas.microsoft.com/office/drawing/2014/main" id="{00000000-0008-0000-0100-000011000000}"/>
            </a:ext>
          </a:extLst>
        </xdr:cNvPr>
        <xdr:cNvCxnSpPr>
          <a:cxnSpLocks/>
        </xdr:cNvCxnSpPr>
      </xdr:nvCxnSpPr>
      <xdr:spPr>
        <a:xfrm>
          <a:off x="5055820" y="1165369"/>
          <a:ext cx="0" cy="34471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375102</xdr:colOff>
      <xdr:row>2</xdr:row>
      <xdr:rowOff>103529</xdr:rowOff>
    </xdr:from>
    <xdr:to>
      <xdr:col>3</xdr:col>
      <xdr:colOff>773717</xdr:colOff>
      <xdr:row>5</xdr:row>
      <xdr:rowOff>86027</xdr:rowOff>
    </xdr:to>
    <xdr:sp macro="" textlink="">
      <xdr:nvSpPr>
        <xdr:cNvPr id="18" name="TextBox 31">
          <a:extLst>
            <a:ext uri="{FF2B5EF4-FFF2-40B4-BE49-F238E27FC236}">
              <a16:creationId xmlns:a16="http://schemas.microsoft.com/office/drawing/2014/main" id="{00000000-0008-0000-0100-000012000000}"/>
            </a:ext>
          </a:extLst>
        </xdr:cNvPr>
        <xdr:cNvSpPr txBox="1"/>
      </xdr:nvSpPr>
      <xdr:spPr>
        <a:xfrm>
          <a:off x="2026102" y="484529"/>
          <a:ext cx="1224115" cy="553998"/>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t>Alter hyperparameters here</a:t>
          </a:r>
          <a:endParaRPr lang="en-US" sz="1000"/>
        </a:p>
      </xdr:txBody>
    </xdr:sp>
    <xdr:clientData/>
  </xdr:twoCellAnchor>
  <xdr:twoCellAnchor>
    <xdr:from>
      <xdr:col>3</xdr:col>
      <xdr:colOff>19085</xdr:colOff>
      <xdr:row>5</xdr:row>
      <xdr:rowOff>67989</xdr:rowOff>
    </xdr:from>
    <xdr:to>
      <xdr:col>3</xdr:col>
      <xdr:colOff>19085</xdr:colOff>
      <xdr:row>7</xdr:row>
      <xdr:rowOff>31700</xdr:rowOff>
    </xdr:to>
    <xdr:cxnSp macro="">
      <xdr:nvCxnSpPr>
        <xdr:cNvPr id="19" name="Straight Arrow Connector 18">
          <a:extLst>
            <a:ext uri="{FF2B5EF4-FFF2-40B4-BE49-F238E27FC236}">
              <a16:creationId xmlns:a16="http://schemas.microsoft.com/office/drawing/2014/main" id="{00000000-0008-0000-0100-000013000000}"/>
            </a:ext>
          </a:extLst>
        </xdr:cNvPr>
        <xdr:cNvCxnSpPr>
          <a:cxnSpLocks/>
        </xdr:cNvCxnSpPr>
      </xdr:nvCxnSpPr>
      <xdr:spPr>
        <a:xfrm>
          <a:off x="2495585" y="1020489"/>
          <a:ext cx="0" cy="344711"/>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387802</xdr:colOff>
      <xdr:row>30</xdr:row>
      <xdr:rowOff>14629</xdr:rowOff>
    </xdr:from>
    <xdr:to>
      <xdr:col>3</xdr:col>
      <xdr:colOff>786417</xdr:colOff>
      <xdr:row>33</xdr:row>
      <xdr:rowOff>5014</xdr:rowOff>
    </xdr:to>
    <xdr:sp macro="" textlink="">
      <xdr:nvSpPr>
        <xdr:cNvPr id="20" name="TextBox 31">
          <a:extLst>
            <a:ext uri="{FF2B5EF4-FFF2-40B4-BE49-F238E27FC236}">
              <a16:creationId xmlns:a16="http://schemas.microsoft.com/office/drawing/2014/main" id="{00000000-0008-0000-0100-000014000000}"/>
            </a:ext>
          </a:extLst>
        </xdr:cNvPr>
        <xdr:cNvSpPr txBox="1"/>
      </xdr:nvSpPr>
      <xdr:spPr>
        <a:xfrm>
          <a:off x="2038802" y="5729629"/>
          <a:ext cx="1224115" cy="56188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t>Red indicates</a:t>
          </a:r>
          <a:r>
            <a:rPr lang="en-US" sz="1000" b="1" baseline="0"/>
            <a:t> that this example is part of the batch</a:t>
          </a:r>
          <a:endParaRPr lang="en-US" sz="1000"/>
        </a:p>
      </xdr:txBody>
    </xdr:sp>
    <xdr:clientData/>
  </xdr:twoCellAnchor>
  <xdr:twoCellAnchor>
    <xdr:from>
      <xdr:col>3</xdr:col>
      <xdr:colOff>25400</xdr:colOff>
      <xdr:row>28</xdr:row>
      <xdr:rowOff>6300</xdr:rowOff>
    </xdr:from>
    <xdr:to>
      <xdr:col>3</xdr:col>
      <xdr:colOff>31785</xdr:colOff>
      <xdr:row>30</xdr:row>
      <xdr:rowOff>0</xdr:rowOff>
    </xdr:to>
    <xdr:cxnSp macro="">
      <xdr:nvCxnSpPr>
        <xdr:cNvPr id="21" name="Straight Arrow Connector 20">
          <a:extLst>
            <a:ext uri="{FF2B5EF4-FFF2-40B4-BE49-F238E27FC236}">
              <a16:creationId xmlns:a16="http://schemas.microsoft.com/office/drawing/2014/main" id="{00000000-0008-0000-0100-000015000000}"/>
            </a:ext>
          </a:extLst>
        </xdr:cNvPr>
        <xdr:cNvCxnSpPr>
          <a:cxnSpLocks/>
        </xdr:cNvCxnSpPr>
      </xdr:nvCxnSpPr>
      <xdr:spPr>
        <a:xfrm flipV="1">
          <a:off x="2501900" y="5340300"/>
          <a:ext cx="6385" cy="37470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248102</xdr:colOff>
      <xdr:row>6</xdr:row>
      <xdr:rowOff>116229</xdr:rowOff>
    </xdr:from>
    <xdr:to>
      <xdr:col>16</xdr:col>
      <xdr:colOff>114300</xdr:colOff>
      <xdr:row>10</xdr:row>
      <xdr:rowOff>72631</xdr:rowOff>
    </xdr:to>
    <xdr:sp macro="" textlink="">
      <xdr:nvSpPr>
        <xdr:cNvPr id="23" name="TextBox 31">
          <a:extLst>
            <a:ext uri="{FF2B5EF4-FFF2-40B4-BE49-F238E27FC236}">
              <a16:creationId xmlns:a16="http://schemas.microsoft.com/office/drawing/2014/main" id="{00000000-0008-0000-0100-000017000000}"/>
            </a:ext>
          </a:extLst>
        </xdr:cNvPr>
        <xdr:cNvSpPr txBox="1"/>
      </xdr:nvSpPr>
      <xdr:spPr>
        <a:xfrm>
          <a:off x="11805102" y="1259229"/>
          <a:ext cx="1517198" cy="71840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t>False</a:t>
          </a:r>
          <a:r>
            <a:rPr lang="en-US" sz="1000" b="1" baseline="0"/>
            <a:t> indicates the neuron is being used (not being zero-ed out by dropout regularization)</a:t>
          </a:r>
          <a:endParaRPr lang="en-US" sz="1000"/>
        </a:p>
      </xdr:txBody>
    </xdr:sp>
    <xdr:clientData/>
  </xdr:twoCellAnchor>
  <xdr:twoCellAnchor>
    <xdr:from>
      <xdr:col>14</xdr:col>
      <xdr:colOff>774700</xdr:colOff>
      <xdr:row>10</xdr:row>
      <xdr:rowOff>101600</xdr:rowOff>
    </xdr:from>
    <xdr:to>
      <xdr:col>14</xdr:col>
      <xdr:colOff>774700</xdr:colOff>
      <xdr:row>14</xdr:row>
      <xdr:rowOff>0</xdr:rowOff>
    </xdr:to>
    <xdr:cxnSp macro="">
      <xdr:nvCxnSpPr>
        <xdr:cNvPr id="24" name="Straight Arrow Connector 23">
          <a:extLst>
            <a:ext uri="{FF2B5EF4-FFF2-40B4-BE49-F238E27FC236}">
              <a16:creationId xmlns:a16="http://schemas.microsoft.com/office/drawing/2014/main" id="{00000000-0008-0000-0100-000018000000}"/>
            </a:ext>
          </a:extLst>
        </xdr:cNvPr>
        <xdr:cNvCxnSpPr>
          <a:cxnSpLocks/>
        </xdr:cNvCxnSpPr>
      </xdr:nvCxnSpPr>
      <xdr:spPr>
        <a:xfrm>
          <a:off x="12331700" y="2006600"/>
          <a:ext cx="0" cy="66040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342900</xdr:colOff>
      <xdr:row>8</xdr:row>
      <xdr:rowOff>25400</xdr:rowOff>
    </xdr:from>
    <xdr:to>
      <xdr:col>16</xdr:col>
      <xdr:colOff>571500</xdr:colOff>
      <xdr:row>10</xdr:row>
      <xdr:rowOff>177800</xdr:rowOff>
    </xdr:to>
    <xdr:cxnSp macro="">
      <xdr:nvCxnSpPr>
        <xdr:cNvPr id="29" name="Straight Arrow Connector 28">
          <a:extLst>
            <a:ext uri="{FF2B5EF4-FFF2-40B4-BE49-F238E27FC236}">
              <a16:creationId xmlns:a16="http://schemas.microsoft.com/office/drawing/2014/main" id="{00000000-0008-0000-0100-00001D000000}"/>
            </a:ext>
          </a:extLst>
        </xdr:cNvPr>
        <xdr:cNvCxnSpPr>
          <a:cxnSpLocks/>
        </xdr:cNvCxnSpPr>
      </xdr:nvCxnSpPr>
      <xdr:spPr>
        <a:xfrm flipH="1">
          <a:off x="13550900" y="1549400"/>
          <a:ext cx="228600" cy="53340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337002</xdr:colOff>
      <xdr:row>4</xdr:row>
      <xdr:rowOff>141629</xdr:rowOff>
    </xdr:from>
    <xdr:to>
      <xdr:col>17</xdr:col>
      <xdr:colOff>812800</xdr:colOff>
      <xdr:row>7</xdr:row>
      <xdr:rowOff>132014</xdr:rowOff>
    </xdr:to>
    <xdr:sp macro="" textlink="">
      <xdr:nvSpPr>
        <xdr:cNvPr id="31" name="TextBox 31">
          <a:extLst>
            <a:ext uri="{FF2B5EF4-FFF2-40B4-BE49-F238E27FC236}">
              <a16:creationId xmlns:a16="http://schemas.microsoft.com/office/drawing/2014/main" id="{00000000-0008-0000-0100-00001F000000}"/>
            </a:ext>
          </a:extLst>
        </xdr:cNvPr>
        <xdr:cNvSpPr txBox="1"/>
      </xdr:nvSpPr>
      <xdr:spPr>
        <a:xfrm>
          <a:off x="13545002" y="903629"/>
          <a:ext cx="1301298" cy="56188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000" b="1"/>
            <a:t>Each layers activation</a:t>
          </a:r>
          <a:r>
            <a:rPr lang="en-US" sz="1000" b="1" baseline="0"/>
            <a:t> function can be chosen here</a:t>
          </a:r>
          <a:endParaRPr lang="en-US" sz="10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59</xdr:col>
      <xdr:colOff>154353</xdr:colOff>
      <xdr:row>10</xdr:row>
      <xdr:rowOff>290958</xdr:rowOff>
    </xdr:from>
    <xdr:ext cx="5244124" cy="5516960"/>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5313053" y="2310258"/>
              <a:ext cx="5244124" cy="5516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14:m>
                <m:oMathPara xmlns:m="http://schemas.openxmlformats.org/officeDocument/2006/math">
                  <m:oMathParaPr>
                    <m:jc m:val="left"/>
                  </m:oMathParaPr>
                  <m:oMath xmlns:m="http://schemas.openxmlformats.org/officeDocument/2006/math">
                    <m:r>
                      <a:rPr lang="en-GB" sz="1600" b="0" i="1">
                        <a:latin typeface="Cambria Math" panose="02040503050406030204" pitchFamily="18" charset="0"/>
                      </a:rPr>
                      <m:t>𝑀𝑆𝐸</m:t>
                    </m:r>
                    <m:r>
                      <a:rPr lang="en-GB" sz="1600" b="0" i="1">
                        <a:latin typeface="Cambria Math" panose="02040503050406030204" pitchFamily="18" charset="0"/>
                      </a:rPr>
                      <m:t>=</m:t>
                    </m:r>
                    <m:d>
                      <m:dPr>
                        <m:ctrlPr>
                          <a:rPr lang="en-GB" sz="1600" b="0" i="1">
                            <a:latin typeface="Cambria Math" panose="02040503050406030204" pitchFamily="18" charset="0"/>
                          </a:rPr>
                        </m:ctrlPr>
                      </m:dPr>
                      <m:e>
                        <m:f>
                          <m:fPr>
                            <m:ctrlPr>
                              <a:rPr lang="en-US" sz="1600" i="1">
                                <a:latin typeface="Cambria Math" panose="02040503050406030204" pitchFamily="18" charset="0"/>
                              </a:rPr>
                            </m:ctrlPr>
                          </m:fPr>
                          <m:num>
                            <m:r>
                              <a:rPr lang="en-GB" sz="1600" b="0" i="1">
                                <a:latin typeface="Cambria Math" panose="02040503050406030204" pitchFamily="18" charset="0"/>
                              </a:rPr>
                              <m:t>1</m:t>
                            </m:r>
                          </m:num>
                          <m:den>
                            <m:r>
                              <a:rPr lang="en-GB" sz="1600" b="0" i="1">
                                <a:latin typeface="Cambria Math" panose="02040503050406030204" pitchFamily="18" charset="0"/>
                              </a:rPr>
                              <m:t>𝑚</m:t>
                            </m:r>
                          </m:den>
                        </m:f>
                        <m:nary>
                          <m:naryPr>
                            <m:chr m:val="∑"/>
                            <m:ctrlPr>
                              <a:rPr lang="en-GB" sz="1600" b="0" i="1">
                                <a:latin typeface="Cambria Math" panose="02040503050406030204" pitchFamily="18" charset="0"/>
                              </a:rPr>
                            </m:ctrlPr>
                          </m:naryPr>
                          <m:sub>
                            <m:r>
                              <m:rPr>
                                <m:brk m:alnAt="23"/>
                              </m:rPr>
                              <a:rPr lang="en-GB" sz="1600" b="0" i="1">
                                <a:latin typeface="Cambria Math" panose="02040503050406030204" pitchFamily="18" charset="0"/>
                              </a:rPr>
                              <m:t>𝑖</m:t>
                            </m:r>
                            <m:r>
                              <a:rPr lang="en-GB" sz="1600" b="0" i="1">
                                <a:latin typeface="Cambria Math" panose="02040503050406030204" pitchFamily="18" charset="0"/>
                              </a:rPr>
                              <m:t>=1</m:t>
                            </m:r>
                          </m:sub>
                          <m:sup>
                            <m:r>
                              <a:rPr lang="en-GB" sz="1600" b="0" i="1">
                                <a:latin typeface="Cambria Math" panose="02040503050406030204" pitchFamily="18" charset="0"/>
                              </a:rPr>
                              <m:t>𝑚</m:t>
                            </m:r>
                          </m:sup>
                          <m:e>
                            <m:sSubSup>
                              <m:sSubSupPr>
                                <m:ctrlPr>
                                  <a:rPr lang="en-GB" sz="1600" b="0" i="1">
                                    <a:latin typeface="Cambria Math" panose="02040503050406030204" pitchFamily="18" charset="0"/>
                                  </a:rPr>
                                </m:ctrlPr>
                              </m:sSubSupPr>
                              <m:e>
                                <m:r>
                                  <a:rPr lang="en-GB" sz="1600" b="0" i="1">
                                    <a:latin typeface="Cambria Math" panose="02040503050406030204" pitchFamily="18" charset="0"/>
                                  </a:rPr>
                                  <m:t>𝜀</m:t>
                                </m:r>
                              </m:e>
                              <m:sub>
                                <m:r>
                                  <a:rPr lang="en-GB" sz="1600" b="0" i="1">
                                    <a:latin typeface="Cambria Math" panose="02040503050406030204" pitchFamily="18" charset="0"/>
                                  </a:rPr>
                                  <m:t>𝑖</m:t>
                                </m:r>
                              </m:sub>
                              <m:sup>
                                <m:r>
                                  <a:rPr lang="en-GB" sz="1600" b="0" i="1">
                                    <a:latin typeface="Cambria Math" panose="02040503050406030204" pitchFamily="18" charset="0"/>
                                  </a:rPr>
                                  <m:t>2</m:t>
                                </m:r>
                              </m:sup>
                            </m:sSubSup>
                          </m:e>
                        </m:nary>
                      </m:e>
                    </m:d>
                    <m:r>
                      <a:rPr lang="en-GB" sz="1600" b="0" i="1">
                        <a:latin typeface="Cambria Math" panose="02040503050406030204" pitchFamily="18" charset="0"/>
                      </a:rPr>
                      <m:t>+</m:t>
                    </m:r>
                    <m:f>
                      <m:fPr>
                        <m:ctrlPr>
                          <a:rPr lang="en-GB" sz="1600" b="0" i="1">
                            <a:latin typeface="Cambria Math" panose="02040503050406030204" pitchFamily="18" charset="0"/>
                          </a:rPr>
                        </m:ctrlPr>
                      </m:fPr>
                      <m:num>
                        <m:r>
                          <a:rPr lang="en-GB" sz="1600" b="0" i="1">
                            <a:latin typeface="Cambria Math" panose="02040503050406030204" pitchFamily="18" charset="0"/>
                            <a:ea typeface="Cambria Math" panose="02040503050406030204" pitchFamily="18" charset="0"/>
                          </a:rPr>
                          <m:t>𝜆</m:t>
                        </m:r>
                      </m:num>
                      <m:den>
                        <m:r>
                          <a:rPr lang="en-GB" sz="1600" b="0" i="1">
                            <a:latin typeface="Cambria Math" panose="02040503050406030204" pitchFamily="18" charset="0"/>
                          </a:rPr>
                          <m:t>2</m:t>
                        </m:r>
                        <m:r>
                          <a:rPr lang="en-GB" sz="1600" b="0" i="1">
                            <a:latin typeface="Cambria Math" panose="02040503050406030204" pitchFamily="18" charset="0"/>
                          </a:rPr>
                          <m:t>𝑚</m:t>
                        </m:r>
                      </m:den>
                    </m:f>
                    <m:nary>
                      <m:naryPr>
                        <m:chr m:val="∑"/>
                        <m:ctrlPr>
                          <a:rPr lang="en-GB" sz="1600" b="0" i="1">
                            <a:latin typeface="Cambria Math" panose="02040503050406030204" pitchFamily="18" charset="0"/>
                          </a:rPr>
                        </m:ctrlPr>
                      </m:naryPr>
                      <m:sub>
                        <m:r>
                          <m:rPr>
                            <m:brk m:alnAt="23"/>
                          </m:rPr>
                          <a:rPr lang="en-GB" sz="1600" b="0" i="1">
                            <a:latin typeface="Cambria Math" panose="02040503050406030204" pitchFamily="18" charset="0"/>
                          </a:rPr>
                          <m:t>𝑖</m:t>
                        </m:r>
                        <m:r>
                          <a:rPr lang="en-GB" sz="1600" b="0" i="1">
                            <a:latin typeface="Cambria Math" panose="02040503050406030204" pitchFamily="18" charset="0"/>
                          </a:rPr>
                          <m:t>=</m:t>
                        </m:r>
                        <m:r>
                          <a:rPr lang="en-GB" sz="1600" b="0" i="1">
                            <a:latin typeface="Cambria Math" panose="02040503050406030204" pitchFamily="18" charset="0"/>
                          </a:rPr>
                          <m:t>𝑙</m:t>
                        </m:r>
                      </m:sub>
                      <m:sup>
                        <m:r>
                          <a:rPr lang="en-GB" sz="1600" b="0" i="1">
                            <a:latin typeface="Cambria Math" panose="02040503050406030204" pitchFamily="18" charset="0"/>
                          </a:rPr>
                          <m:t>𝐿</m:t>
                        </m:r>
                      </m:sup>
                      <m:e>
                        <m:sSubSup>
                          <m:sSubSupPr>
                            <m:ctrlPr>
                              <a:rPr lang="en-GB" sz="1600" b="0" i="1">
                                <a:latin typeface="Cambria Math" panose="02040503050406030204" pitchFamily="18" charset="0"/>
                              </a:rPr>
                            </m:ctrlPr>
                          </m:sSubSupPr>
                          <m:e>
                            <m:d>
                              <m:dPr>
                                <m:begChr m:val="‖"/>
                                <m:endChr m:val="‖"/>
                                <m:ctrlPr>
                                  <a:rPr lang="en-GB" sz="1600" b="0" i="1">
                                    <a:latin typeface="Cambria Math" panose="02040503050406030204" pitchFamily="18" charset="0"/>
                                  </a:rPr>
                                </m:ctrlPr>
                              </m:dPr>
                              <m:e>
                                <m:sSup>
                                  <m:sSupPr>
                                    <m:ctrlPr>
                                      <a:rPr lang="en-GB" sz="1600" b="0" i="1">
                                        <a:latin typeface="Cambria Math" panose="02040503050406030204" pitchFamily="18" charset="0"/>
                                      </a:rPr>
                                    </m:ctrlPr>
                                  </m:sSupPr>
                                  <m:e>
                                    <m:r>
                                      <a:rPr lang="en-GB" sz="1600" b="0" i="1">
                                        <a:latin typeface="Cambria Math" panose="02040503050406030204" pitchFamily="18" charset="0"/>
                                        <a:ea typeface="Cambria Math" panose="02040503050406030204" pitchFamily="18" charset="0"/>
                                      </a:rPr>
                                      <m:t>𝜃</m:t>
                                    </m:r>
                                  </m:e>
                                  <m:sup>
                                    <m:d>
                                      <m:dPr>
                                        <m:begChr m:val="["/>
                                        <m:endChr m:val="]"/>
                                        <m:ctrlPr>
                                          <a:rPr lang="en-GB" sz="1600" b="0" i="1">
                                            <a:latin typeface="Cambria Math" panose="02040503050406030204" pitchFamily="18" charset="0"/>
                                          </a:rPr>
                                        </m:ctrlPr>
                                      </m:dPr>
                                      <m:e>
                                        <m:r>
                                          <a:rPr lang="en-GB" sz="1600" b="0" i="1">
                                            <a:latin typeface="Cambria Math" panose="02040503050406030204" pitchFamily="18" charset="0"/>
                                          </a:rPr>
                                          <m:t>𝑙</m:t>
                                        </m:r>
                                      </m:e>
                                    </m:d>
                                  </m:sup>
                                </m:sSup>
                              </m:e>
                            </m:d>
                          </m:e>
                          <m:sub>
                            <m:r>
                              <a:rPr lang="en-GB" sz="1600" b="0" i="1">
                                <a:latin typeface="Cambria Math" panose="02040503050406030204" pitchFamily="18" charset="0"/>
                              </a:rPr>
                              <m:t>𝐹</m:t>
                            </m:r>
                          </m:sub>
                          <m:sup>
                            <m:r>
                              <a:rPr lang="en-GB" sz="1600" b="0" i="1">
                                <a:latin typeface="Cambria Math" panose="02040503050406030204" pitchFamily="18" charset="0"/>
                              </a:rPr>
                              <m:t>2</m:t>
                            </m:r>
                          </m:sup>
                        </m:sSubSup>
                      </m:e>
                    </m:nary>
                  </m:oMath>
                </m:oMathPara>
              </a14:m>
              <a:endParaRPr lang="en-US" sz="1600" i="1">
                <a:latin typeface="Cambria Math" panose="02040503050406030204" pitchFamily="18" charset="0"/>
              </a:endParaRPr>
            </a:p>
            <a:p>
              <a:pPr algn="l"/>
              <a:endParaRPr lang="en-US" sz="1600" i="1">
                <a:latin typeface="Cambria Math" panose="02040503050406030204" pitchFamily="18" charset="0"/>
              </a:endParaRPr>
            </a:p>
            <a:p>
              <a:pPr algn="l"/>
              <a14:m>
                <m:oMathPara xmlns:m="http://schemas.openxmlformats.org/officeDocument/2006/math">
                  <m:oMathParaPr>
                    <m:jc m:val="left"/>
                  </m:oMathParaPr>
                  <m:oMath xmlns:m="http://schemas.openxmlformats.org/officeDocument/2006/math">
                    <m:f>
                      <m:fPr>
                        <m:ctrlPr>
                          <a:rPr lang="en-US" sz="1600" i="1">
                            <a:latin typeface="Cambria Math" panose="02040503050406030204" pitchFamily="18" charset="0"/>
                          </a:rPr>
                        </m:ctrlPr>
                      </m:fPr>
                      <m:num>
                        <m:r>
                          <a:rPr lang="en-US" sz="1600" i="1">
                            <a:latin typeface="Cambria Math" panose="02040503050406030204" pitchFamily="18" charset="0"/>
                          </a:rPr>
                          <m:t>𝜕</m:t>
                        </m:r>
                        <m:r>
                          <a:rPr lang="en-GB" sz="1600" b="0" i="1">
                            <a:latin typeface="Cambria Math" panose="02040503050406030204" pitchFamily="18" charset="0"/>
                          </a:rPr>
                          <m:t>𝑀𝑆𝐸</m:t>
                        </m:r>
                      </m:num>
                      <m:den>
                        <m:r>
                          <a:rPr lang="en-US" sz="1600" i="1">
                            <a:latin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ea typeface="Cambria Math" panose="02040503050406030204" pitchFamily="18" charset="0"/>
                              </a:rPr>
                              <m:t>𝜃</m:t>
                            </m:r>
                          </m:e>
                          <m:sub>
                            <m:r>
                              <a:rPr lang="en-GB" sz="1600" b="0" i="1">
                                <a:latin typeface="Cambria Math" panose="02040503050406030204" pitchFamily="18" charset="0"/>
                              </a:rPr>
                              <m:t>3</m:t>
                            </m:r>
                          </m:sub>
                        </m:sSub>
                      </m:den>
                    </m:f>
                    <m:r>
                      <a:rPr lang="en-GB" sz="1600" b="0" i="1">
                        <a:latin typeface="Cambria Math" panose="02040503050406030204" pitchFamily="18" charset="0"/>
                      </a:rPr>
                      <m:t>=</m:t>
                    </m:r>
                    <m:f>
                      <m:fPr>
                        <m:ctrlPr>
                          <a:rPr lang="en-US" sz="1600" i="1">
                            <a:latin typeface="Cambria Math" panose="02040503050406030204" pitchFamily="18" charset="0"/>
                          </a:rPr>
                        </m:ctrlPr>
                      </m:fPr>
                      <m:num>
                        <m:r>
                          <a:rPr lang="en-GB" sz="1600" b="0" i="1">
                            <a:latin typeface="Cambria Math" panose="02040503050406030204" pitchFamily="18" charset="0"/>
                          </a:rPr>
                          <m:t>1</m:t>
                        </m:r>
                      </m:num>
                      <m:den>
                        <m:r>
                          <a:rPr lang="en-GB" sz="1600" b="0" i="1">
                            <a:latin typeface="Cambria Math" panose="02040503050406030204" pitchFamily="18" charset="0"/>
                          </a:rPr>
                          <m:t>𝑚</m:t>
                        </m:r>
                      </m:den>
                    </m:f>
                    <m:r>
                      <a:rPr lang="en-GB" sz="1600" b="0" i="1">
                        <a:latin typeface="Cambria Math" panose="02040503050406030204" pitchFamily="18" charset="0"/>
                        <a:ea typeface="Cambria Math" panose="02040503050406030204" pitchFamily="18" charset="0"/>
                      </a:rPr>
                      <m:t>×</m:t>
                    </m:r>
                    <m:d>
                      <m:dPr>
                        <m:begChr m:val="["/>
                        <m:endChr m:val="]"/>
                        <m:ctrlPr>
                          <a:rPr lang="en-GB" sz="1600" b="0" i="1">
                            <a:latin typeface="Cambria Math" panose="02040503050406030204" pitchFamily="18" charset="0"/>
                          </a:rPr>
                        </m:ctrlPr>
                      </m:dPr>
                      <m:e>
                        <m:f>
                          <m:fPr>
                            <m:ctrlPr>
                              <a:rPr lang="en-US" sz="1600" i="1">
                                <a:latin typeface="Cambria Math" panose="02040503050406030204" pitchFamily="18" charset="0"/>
                              </a:rPr>
                            </m:ctrlPr>
                          </m:fPr>
                          <m:num>
                            <m:r>
                              <a:rPr lang="en-US" sz="1600" i="1">
                                <a:latin typeface="Cambria Math" panose="02040503050406030204" pitchFamily="18" charset="0"/>
                              </a:rPr>
                              <m:t>𝜕</m:t>
                            </m:r>
                            <m:nary>
                              <m:naryPr>
                                <m:chr m:val="∑"/>
                                <m:subHide m:val="on"/>
                                <m:supHide m:val="on"/>
                                <m:ctrlPr>
                                  <a:rPr lang="en-US" sz="1600" i="1">
                                    <a:latin typeface="Cambria Math" panose="02040503050406030204" pitchFamily="18" charset="0"/>
                                  </a:rPr>
                                </m:ctrlPr>
                              </m:naryPr>
                              <m:sub/>
                              <m:sup/>
                              <m:e>
                                <m:sSup>
                                  <m:sSupPr>
                                    <m:ctrlPr>
                                      <a:rPr lang="en-US" sz="1600" i="1">
                                        <a:latin typeface="Cambria Math" panose="02040503050406030204" pitchFamily="18" charset="0"/>
                                      </a:rPr>
                                    </m:ctrlPr>
                                  </m:sSupPr>
                                  <m:e>
                                    <m:r>
                                      <a:rPr lang="en-US" sz="1600" i="1">
                                        <a:latin typeface="Cambria Math" panose="02040503050406030204" pitchFamily="18" charset="0"/>
                                      </a:rPr>
                                      <m:t>𝜀</m:t>
                                    </m:r>
                                  </m:e>
                                  <m:sup>
                                    <m:r>
                                      <a:rPr lang="en-GB" sz="1600" b="0" i="1">
                                        <a:latin typeface="Cambria Math" panose="02040503050406030204" pitchFamily="18" charset="0"/>
                                      </a:rPr>
                                      <m:t>2</m:t>
                                    </m:r>
                                  </m:sup>
                                </m:sSup>
                              </m:e>
                            </m:nary>
                          </m:num>
                          <m:den>
                            <m:r>
                              <a:rPr lang="en-US" sz="1600" i="1">
                                <a:latin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ea typeface="Cambria Math" panose="02040503050406030204" pitchFamily="18" charset="0"/>
                                  </a:rPr>
                                  <m:t>𝜃</m:t>
                                </m:r>
                              </m:e>
                              <m:sub>
                                <m:r>
                                  <a:rPr lang="en-GB" sz="1600" b="0" i="1">
                                    <a:latin typeface="Cambria Math" panose="02040503050406030204" pitchFamily="18" charset="0"/>
                                  </a:rPr>
                                  <m:t>3</m:t>
                                </m:r>
                              </m:sub>
                            </m:sSub>
                          </m:den>
                        </m:f>
                      </m:e>
                    </m:d>
                    <m:r>
                      <a:rPr lang="en-GB" sz="1600" b="0" i="1">
                        <a:latin typeface="Cambria Math" panose="02040503050406030204" pitchFamily="18" charset="0"/>
                      </a:rPr>
                      <m:t>+</m:t>
                    </m:r>
                    <m:f>
                      <m:fPr>
                        <m:ctrlPr>
                          <a:rPr lang="en-GB" sz="1600" b="0" i="1">
                            <a:latin typeface="Cambria Math" panose="02040503050406030204" pitchFamily="18" charset="0"/>
                          </a:rPr>
                        </m:ctrlPr>
                      </m:fPr>
                      <m:num>
                        <m:r>
                          <a:rPr lang="en-GB" sz="1600" b="0" i="1">
                            <a:latin typeface="Cambria Math" panose="02040503050406030204" pitchFamily="18" charset="0"/>
                            <a:ea typeface="Cambria Math" panose="02040503050406030204" pitchFamily="18" charset="0"/>
                          </a:rPr>
                          <m:t>𝜆</m:t>
                        </m:r>
                      </m:num>
                      <m:den>
                        <m:r>
                          <a:rPr lang="en-GB" sz="1600" b="0" i="1">
                            <a:latin typeface="Cambria Math" panose="02040503050406030204" pitchFamily="18" charset="0"/>
                          </a:rPr>
                          <m:t>𝑚</m:t>
                        </m:r>
                      </m:den>
                    </m:f>
                    <m:sSup>
                      <m:sSupPr>
                        <m:ctrlPr>
                          <a:rPr lang="en-GB" sz="1600" b="0" i="1">
                            <a:latin typeface="Cambria Math" panose="02040503050406030204" pitchFamily="18" charset="0"/>
                          </a:rPr>
                        </m:ctrlPr>
                      </m:sSupPr>
                      <m:e>
                        <m:r>
                          <a:rPr lang="en-GB" sz="1600" b="0" i="1">
                            <a:latin typeface="Cambria Math" panose="02040503050406030204" pitchFamily="18" charset="0"/>
                            <a:ea typeface="Cambria Math" panose="02040503050406030204" pitchFamily="18" charset="0"/>
                          </a:rPr>
                          <m:t>𝜃</m:t>
                        </m:r>
                      </m:e>
                      <m:sup>
                        <m:d>
                          <m:dPr>
                            <m:begChr m:val="["/>
                            <m:endChr m:val="]"/>
                            <m:ctrlPr>
                              <a:rPr lang="en-GB" sz="1600" b="0" i="1">
                                <a:latin typeface="Cambria Math" panose="02040503050406030204" pitchFamily="18" charset="0"/>
                              </a:rPr>
                            </m:ctrlPr>
                          </m:dPr>
                          <m:e>
                            <m:r>
                              <a:rPr lang="en-GB" sz="1600" b="0" i="1">
                                <a:latin typeface="Cambria Math" panose="02040503050406030204" pitchFamily="18" charset="0"/>
                              </a:rPr>
                              <m:t>𝑙</m:t>
                            </m:r>
                          </m:e>
                        </m:d>
                      </m:sup>
                    </m:sSup>
                  </m:oMath>
                </m:oMathPara>
              </a14:m>
              <a:endParaRPr lang="en-GB" sz="1600" i="1">
                <a:latin typeface="Cambria Math" panose="02040503050406030204" pitchFamily="18" charset="0"/>
              </a:endParaRPr>
            </a:p>
            <a:p>
              <a:pPr algn="l"/>
              <a:endParaRPr lang="en-GB" sz="1600" i="1">
                <a:latin typeface="Cambria Math" panose="02040503050406030204" pitchFamily="18" charset="0"/>
              </a:endParaRPr>
            </a:p>
            <a:p>
              <a:pPr algn="l"/>
              <a14:m>
                <m:oMathPara xmlns:m="http://schemas.openxmlformats.org/officeDocument/2006/math">
                  <m:oMathParaPr>
                    <m:jc m:val="left"/>
                  </m:oMathParaPr>
                  <m:oMath xmlns:m="http://schemas.openxmlformats.org/officeDocument/2006/math">
                    <m:r>
                      <a:rPr lang="en-GB" sz="1600" b="0" i="1">
                        <a:latin typeface="Cambria Math" panose="02040503050406030204" pitchFamily="18" charset="0"/>
                      </a:rPr>
                      <m:t>=</m:t>
                    </m:r>
                    <m:f>
                      <m:fPr>
                        <m:ctrlPr>
                          <a:rPr lang="en-US" sz="1600" i="1">
                            <a:latin typeface="Cambria Math" panose="02040503050406030204" pitchFamily="18" charset="0"/>
                          </a:rPr>
                        </m:ctrlPr>
                      </m:fPr>
                      <m:num>
                        <m:r>
                          <a:rPr lang="en-GB" sz="1600" b="0" i="1">
                            <a:latin typeface="Cambria Math" panose="02040503050406030204" pitchFamily="18" charset="0"/>
                          </a:rPr>
                          <m:t>1</m:t>
                        </m:r>
                      </m:num>
                      <m:den>
                        <m:r>
                          <a:rPr lang="en-GB" sz="1600" b="0" i="1">
                            <a:latin typeface="Cambria Math" panose="02040503050406030204" pitchFamily="18" charset="0"/>
                          </a:rPr>
                          <m:t>𝑚</m:t>
                        </m:r>
                      </m:den>
                    </m:f>
                    <m:r>
                      <a:rPr lang="en-US" sz="1600" b="0" i="1">
                        <a:latin typeface="Cambria Math" panose="02040503050406030204" pitchFamily="18" charset="0"/>
                        <a:ea typeface="Cambria Math" panose="02040503050406030204" pitchFamily="18" charset="0"/>
                      </a:rPr>
                      <m:t>×</m:t>
                    </m:r>
                    <m:d>
                      <m:dPr>
                        <m:begChr m:val="["/>
                        <m:endChr m:val="]"/>
                        <m:ctrlPr>
                          <a:rPr lang="en-US" sz="1600" b="0" i="1">
                            <a:latin typeface="Cambria Math" panose="02040503050406030204" pitchFamily="18" charset="0"/>
                            <a:ea typeface="Cambria Math" panose="02040503050406030204" pitchFamily="18" charset="0"/>
                          </a:rPr>
                        </m:ctrlPr>
                      </m:dPr>
                      <m:e>
                        <m:d>
                          <m:dPr>
                            <m:ctrlPr>
                              <a:rPr lang="en-US" sz="1600" b="0" i="1">
                                <a:latin typeface="Cambria Math" panose="02040503050406030204" pitchFamily="18" charset="0"/>
                                <a:ea typeface="Cambria Math" panose="02040503050406030204" pitchFamily="18" charset="0"/>
                              </a:rPr>
                            </m:ctrlPr>
                          </m:dPr>
                          <m:e>
                            <m:f>
                              <m:fPr>
                                <m:ctrlPr>
                                  <a:rPr lang="en-US" sz="1600" i="1">
                                    <a:latin typeface="Cambria Math" panose="02040503050406030204" pitchFamily="18" charset="0"/>
                                  </a:rPr>
                                </m:ctrlPr>
                              </m:fPr>
                              <m:num>
                                <m:r>
                                  <a:rPr lang="en-US" sz="1600" i="1">
                                    <a:latin typeface="Cambria Math" panose="02040503050406030204" pitchFamily="18" charset="0"/>
                                  </a:rPr>
                                  <m:t>𝜕</m:t>
                                </m:r>
                                <m:nary>
                                  <m:naryPr>
                                    <m:chr m:val="∑"/>
                                    <m:subHide m:val="on"/>
                                    <m:supHide m:val="on"/>
                                    <m:ctrlPr>
                                      <a:rPr lang="en-US" sz="1600" i="1">
                                        <a:latin typeface="Cambria Math" panose="02040503050406030204" pitchFamily="18" charset="0"/>
                                      </a:rPr>
                                    </m:ctrlPr>
                                  </m:naryPr>
                                  <m:sub/>
                                  <m:sup/>
                                  <m:e>
                                    <m:sSup>
                                      <m:sSupPr>
                                        <m:ctrlPr>
                                          <a:rPr lang="en-US" sz="1600" i="1">
                                            <a:latin typeface="Cambria Math" panose="02040503050406030204" pitchFamily="18" charset="0"/>
                                          </a:rPr>
                                        </m:ctrlPr>
                                      </m:sSupPr>
                                      <m:e>
                                        <m:r>
                                          <a:rPr lang="en-US" sz="1600" i="1">
                                            <a:latin typeface="Cambria Math" panose="02040503050406030204" pitchFamily="18" charset="0"/>
                                          </a:rPr>
                                          <m:t>𝜀</m:t>
                                        </m:r>
                                      </m:e>
                                      <m:sup>
                                        <m:r>
                                          <a:rPr lang="en-GB" sz="1600" b="0" i="1">
                                            <a:latin typeface="Cambria Math" panose="02040503050406030204" pitchFamily="18" charset="0"/>
                                          </a:rPr>
                                          <m:t>2</m:t>
                                        </m:r>
                                      </m:sup>
                                    </m:sSup>
                                  </m:e>
                                </m:nary>
                              </m:num>
                              <m:den>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4</m:t>
                                    </m:r>
                                  </m:sub>
                                </m:sSub>
                              </m:den>
                            </m:f>
                          </m:e>
                        </m:d>
                        <m:r>
                          <a:rPr lang="en-GB" sz="1600" b="0" i="1">
                            <a:latin typeface="Cambria Math" panose="02040503050406030204" pitchFamily="18" charset="0"/>
                            <a:ea typeface="Cambria Math" panose="02040503050406030204" pitchFamily="18" charset="0"/>
                          </a:rPr>
                          <m:t>×</m:t>
                        </m:r>
                        <m:f>
                          <m:fPr>
                            <m:ctrlPr>
                              <a:rPr lang="en-US" sz="1600" i="1">
                                <a:latin typeface="Cambria Math" panose="02040503050406030204" pitchFamily="18" charset="0"/>
                              </a:rPr>
                            </m:ctrlPr>
                          </m:fPr>
                          <m:num>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4</m:t>
                                </m:r>
                              </m:sub>
                            </m:sSub>
                          </m:num>
                          <m:den>
                            <m:r>
                              <a:rPr lang="en-US" sz="1600" i="1">
                                <a:latin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ea typeface="Cambria Math" panose="02040503050406030204" pitchFamily="18" charset="0"/>
                                  </a:rPr>
                                  <m:t>𝜃</m:t>
                                </m:r>
                              </m:e>
                              <m:sub>
                                <m:r>
                                  <a:rPr lang="en-GB" sz="1600" b="0" i="1">
                                    <a:latin typeface="Cambria Math" panose="02040503050406030204" pitchFamily="18" charset="0"/>
                                  </a:rPr>
                                  <m:t>4</m:t>
                                </m:r>
                              </m:sub>
                            </m:sSub>
                          </m:den>
                        </m:f>
                      </m:e>
                    </m:d>
                    <m:r>
                      <a:rPr lang="en-GB" sz="1600" b="0" i="1">
                        <a:latin typeface="Cambria Math" panose="02040503050406030204" pitchFamily="18" charset="0"/>
                      </a:rPr>
                      <m:t>+</m:t>
                    </m:r>
                    <m:f>
                      <m:fPr>
                        <m:ctrlPr>
                          <a:rPr lang="en-GB" sz="1600" b="0" i="1">
                            <a:latin typeface="Cambria Math" panose="02040503050406030204" pitchFamily="18" charset="0"/>
                          </a:rPr>
                        </m:ctrlPr>
                      </m:fPr>
                      <m:num>
                        <m:r>
                          <a:rPr lang="en-GB" sz="1600" b="0" i="1">
                            <a:latin typeface="Cambria Math" panose="02040503050406030204" pitchFamily="18" charset="0"/>
                            <a:ea typeface="Cambria Math" panose="02040503050406030204" pitchFamily="18" charset="0"/>
                          </a:rPr>
                          <m:t>𝜆</m:t>
                        </m:r>
                      </m:num>
                      <m:den>
                        <m:r>
                          <a:rPr lang="en-GB" sz="1600" b="0" i="1">
                            <a:latin typeface="Cambria Math" panose="02040503050406030204" pitchFamily="18" charset="0"/>
                          </a:rPr>
                          <m:t>𝑚</m:t>
                        </m:r>
                      </m:den>
                    </m:f>
                    <m:sSup>
                      <m:sSupPr>
                        <m:ctrlPr>
                          <a:rPr lang="en-GB" sz="1600" b="0" i="1">
                            <a:latin typeface="Cambria Math" panose="02040503050406030204" pitchFamily="18" charset="0"/>
                          </a:rPr>
                        </m:ctrlPr>
                      </m:sSupPr>
                      <m:e>
                        <m:r>
                          <a:rPr lang="en-GB" sz="1600" b="0" i="1">
                            <a:latin typeface="Cambria Math" panose="02040503050406030204" pitchFamily="18" charset="0"/>
                            <a:ea typeface="Cambria Math" panose="02040503050406030204" pitchFamily="18" charset="0"/>
                          </a:rPr>
                          <m:t>𝜃</m:t>
                        </m:r>
                      </m:e>
                      <m:sup>
                        <m:d>
                          <m:dPr>
                            <m:begChr m:val="["/>
                            <m:endChr m:val="]"/>
                            <m:ctrlPr>
                              <a:rPr lang="en-GB" sz="1600" b="0" i="1">
                                <a:latin typeface="Cambria Math" panose="02040503050406030204" pitchFamily="18" charset="0"/>
                              </a:rPr>
                            </m:ctrlPr>
                          </m:dPr>
                          <m:e>
                            <m:r>
                              <a:rPr lang="en-GB" sz="1600" b="0" i="1">
                                <a:latin typeface="Cambria Math" panose="02040503050406030204" pitchFamily="18" charset="0"/>
                              </a:rPr>
                              <m:t>𝑙</m:t>
                            </m:r>
                          </m:e>
                        </m:d>
                      </m:sup>
                    </m:sSup>
                  </m:oMath>
                </m:oMathPara>
              </a14:m>
              <a:endParaRPr lang="en-GB" sz="1600" b="0" i="1">
                <a:latin typeface="Cambria Math" panose="02040503050406030204" pitchFamily="18" charset="0"/>
              </a:endParaRPr>
            </a:p>
            <a:p>
              <a:pPr algn="l"/>
              <a:endParaRPr lang="en-GB" sz="1600" b="0" i="1">
                <a:latin typeface="Cambria Math" panose="02040503050406030204" pitchFamily="18" charset="0"/>
              </a:endParaRPr>
            </a:p>
            <a:p>
              <a:pPr algn="l"/>
              <a14:m>
                <m:oMathPara xmlns:m="http://schemas.openxmlformats.org/officeDocument/2006/math">
                  <m:oMathParaPr>
                    <m:jc m:val="left"/>
                  </m:oMathParaPr>
                  <m:oMath xmlns:m="http://schemas.openxmlformats.org/officeDocument/2006/math">
                    <m:r>
                      <a:rPr lang="en-GB" sz="1600" b="0" i="1">
                        <a:latin typeface="Cambria Math" panose="02040503050406030204" pitchFamily="18" charset="0"/>
                      </a:rPr>
                      <m:t>=</m:t>
                    </m:r>
                    <m:f>
                      <m:fPr>
                        <m:ctrlPr>
                          <a:rPr lang="en-US" sz="1600" i="1">
                            <a:latin typeface="Cambria Math" panose="02040503050406030204" pitchFamily="18" charset="0"/>
                          </a:rPr>
                        </m:ctrlPr>
                      </m:fPr>
                      <m:num>
                        <m:r>
                          <a:rPr lang="en-GB" sz="1600" b="0" i="1">
                            <a:latin typeface="Cambria Math" panose="02040503050406030204" pitchFamily="18" charset="0"/>
                          </a:rPr>
                          <m:t>1</m:t>
                        </m:r>
                      </m:num>
                      <m:den>
                        <m:r>
                          <a:rPr lang="en-GB" sz="1600" b="0" i="1">
                            <a:latin typeface="Cambria Math" panose="02040503050406030204" pitchFamily="18" charset="0"/>
                          </a:rPr>
                          <m:t>𝑚</m:t>
                        </m:r>
                      </m:den>
                    </m:f>
                    <m:r>
                      <a:rPr lang="en-US" sz="1600" b="0" i="1">
                        <a:latin typeface="Cambria Math" panose="02040503050406030204" pitchFamily="18" charset="0"/>
                        <a:ea typeface="Cambria Math" panose="02040503050406030204" pitchFamily="18" charset="0"/>
                      </a:rPr>
                      <m:t>×</m:t>
                    </m:r>
                    <m:d>
                      <m:dPr>
                        <m:begChr m:val="["/>
                        <m:endChr m:val="]"/>
                        <m:ctrlPr>
                          <a:rPr lang="en-US" sz="1600" b="0" i="1">
                            <a:latin typeface="Cambria Math" panose="02040503050406030204" pitchFamily="18" charset="0"/>
                            <a:ea typeface="Cambria Math" panose="02040503050406030204" pitchFamily="18" charset="0"/>
                          </a:rPr>
                        </m:ctrlPr>
                      </m:dPr>
                      <m:e>
                        <m:d>
                          <m:dPr>
                            <m:ctrlPr>
                              <a:rPr lang="en-US" sz="1600" b="0" i="1">
                                <a:latin typeface="Cambria Math" panose="02040503050406030204" pitchFamily="18" charset="0"/>
                                <a:ea typeface="Cambria Math" panose="02040503050406030204" pitchFamily="18" charset="0"/>
                              </a:rPr>
                            </m:ctrlPr>
                          </m:dPr>
                          <m:e>
                            <m:f>
                              <m:fPr>
                                <m:ctrlPr>
                                  <a:rPr lang="en-US" sz="1600" i="1">
                                    <a:latin typeface="Cambria Math" panose="02040503050406030204" pitchFamily="18" charset="0"/>
                                  </a:rPr>
                                </m:ctrlPr>
                              </m:fPr>
                              <m:num>
                                <m:r>
                                  <a:rPr lang="en-US" sz="1600" i="1">
                                    <a:latin typeface="Cambria Math" panose="02040503050406030204" pitchFamily="18" charset="0"/>
                                  </a:rPr>
                                  <m:t>𝜕</m:t>
                                </m:r>
                                <m:nary>
                                  <m:naryPr>
                                    <m:chr m:val="∑"/>
                                    <m:subHide m:val="on"/>
                                    <m:supHide m:val="on"/>
                                    <m:ctrlPr>
                                      <a:rPr lang="en-US" sz="1600" i="1">
                                        <a:latin typeface="Cambria Math" panose="02040503050406030204" pitchFamily="18" charset="0"/>
                                      </a:rPr>
                                    </m:ctrlPr>
                                  </m:naryPr>
                                  <m:sub/>
                                  <m:sup/>
                                  <m:e>
                                    <m:sSup>
                                      <m:sSupPr>
                                        <m:ctrlPr>
                                          <a:rPr lang="en-US" sz="1600" i="1">
                                            <a:latin typeface="Cambria Math" panose="02040503050406030204" pitchFamily="18" charset="0"/>
                                          </a:rPr>
                                        </m:ctrlPr>
                                      </m:sSupPr>
                                      <m:e>
                                        <m:d>
                                          <m:dPr>
                                            <m:ctrlPr>
                                              <a:rPr lang="en-US" sz="1600" i="1">
                                                <a:latin typeface="Cambria Math" panose="02040503050406030204" pitchFamily="18" charset="0"/>
                                              </a:rPr>
                                            </m:ctrlPr>
                                          </m:dPr>
                                          <m:e>
                                            <m:r>
                                              <a:rPr lang="en-GB" sz="1600" b="0" i="1">
                                                <a:latin typeface="Cambria Math" panose="02040503050406030204" pitchFamily="18" charset="0"/>
                                              </a:rPr>
                                              <m:t>𝑦</m:t>
                                            </m:r>
                                            <m:r>
                                              <a:rPr lang="en-GB" sz="1600" b="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4</m:t>
                                                </m:r>
                                              </m:sub>
                                            </m:sSub>
                                          </m:e>
                                        </m:d>
                                      </m:e>
                                      <m:sup>
                                        <m:r>
                                          <a:rPr lang="en-GB" sz="1600" b="0" i="1">
                                            <a:latin typeface="Cambria Math" panose="02040503050406030204" pitchFamily="18" charset="0"/>
                                          </a:rPr>
                                          <m:t>2</m:t>
                                        </m:r>
                                      </m:sup>
                                    </m:sSup>
                                  </m:e>
                                </m:nary>
                              </m:num>
                              <m:den>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4</m:t>
                                    </m:r>
                                  </m:sub>
                                </m:sSub>
                              </m:den>
                            </m:f>
                            <m:r>
                              <a:rPr lang="en-GB" sz="1600" b="0" i="1">
                                <a:latin typeface="Cambria Math" panose="02040503050406030204" pitchFamily="18" charset="0"/>
                                <a:ea typeface="Cambria Math" panose="02040503050406030204" pitchFamily="18" charset="0"/>
                              </a:rPr>
                              <m:t>×</m:t>
                            </m:r>
                            <m:f>
                              <m:fPr>
                                <m:ctrlPr>
                                  <a:rPr lang="en-US" sz="1600" i="1">
                                    <a:latin typeface="Cambria Math" panose="02040503050406030204" pitchFamily="18" charset="0"/>
                                  </a:rPr>
                                </m:ctrlPr>
                              </m:fPr>
                              <m:num>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4</m:t>
                                    </m:r>
                                  </m:sub>
                                </m:sSub>
                              </m:num>
                              <m:den>
                                <m:r>
                                  <a:rPr lang="en-US" sz="1600" i="1">
                                    <a:latin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ea typeface="Cambria Math" panose="02040503050406030204" pitchFamily="18" charset="0"/>
                                      </a:rPr>
                                      <m:t>𝑧</m:t>
                                    </m:r>
                                  </m:e>
                                  <m:sub>
                                    <m:r>
                                      <a:rPr lang="en-GB" sz="1600" b="0" i="1">
                                        <a:latin typeface="Cambria Math" panose="02040503050406030204" pitchFamily="18" charset="0"/>
                                      </a:rPr>
                                      <m:t>4</m:t>
                                    </m:r>
                                  </m:sub>
                                </m:sSub>
                              </m:den>
                            </m:f>
                          </m:e>
                        </m:d>
                        <m:r>
                          <a:rPr lang="en-US" sz="1600" i="1">
                            <a:latin typeface="Cambria Math" panose="02040503050406030204" pitchFamily="18" charset="0"/>
                            <a:ea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3</m:t>
                            </m:r>
                          </m:sub>
                        </m:sSub>
                      </m:e>
                    </m:d>
                    <m:r>
                      <a:rPr lang="en-GB" sz="1600" b="0" i="1">
                        <a:latin typeface="Cambria Math" panose="02040503050406030204" pitchFamily="18" charset="0"/>
                      </a:rPr>
                      <m:t>+</m:t>
                    </m:r>
                    <m:f>
                      <m:fPr>
                        <m:ctrlPr>
                          <a:rPr lang="en-GB" sz="1600" b="0" i="1">
                            <a:latin typeface="Cambria Math" panose="02040503050406030204" pitchFamily="18" charset="0"/>
                          </a:rPr>
                        </m:ctrlPr>
                      </m:fPr>
                      <m:num>
                        <m:r>
                          <a:rPr lang="en-GB" sz="1600" b="0" i="1">
                            <a:latin typeface="Cambria Math" panose="02040503050406030204" pitchFamily="18" charset="0"/>
                            <a:ea typeface="Cambria Math" panose="02040503050406030204" pitchFamily="18" charset="0"/>
                          </a:rPr>
                          <m:t>𝜆</m:t>
                        </m:r>
                      </m:num>
                      <m:den>
                        <m:r>
                          <a:rPr lang="en-GB" sz="1600" b="0" i="1">
                            <a:latin typeface="Cambria Math" panose="02040503050406030204" pitchFamily="18" charset="0"/>
                          </a:rPr>
                          <m:t>𝑚</m:t>
                        </m:r>
                      </m:den>
                    </m:f>
                    <m:sSup>
                      <m:sSupPr>
                        <m:ctrlPr>
                          <a:rPr lang="en-GB" sz="1600" b="0" i="1">
                            <a:latin typeface="Cambria Math" panose="02040503050406030204" pitchFamily="18" charset="0"/>
                          </a:rPr>
                        </m:ctrlPr>
                      </m:sSupPr>
                      <m:e>
                        <m:r>
                          <a:rPr lang="en-GB" sz="1600" b="0" i="1">
                            <a:latin typeface="Cambria Math" panose="02040503050406030204" pitchFamily="18" charset="0"/>
                            <a:ea typeface="Cambria Math" panose="02040503050406030204" pitchFamily="18" charset="0"/>
                          </a:rPr>
                          <m:t>𝜃</m:t>
                        </m:r>
                      </m:e>
                      <m:sup>
                        <m:d>
                          <m:dPr>
                            <m:begChr m:val="["/>
                            <m:endChr m:val="]"/>
                            <m:ctrlPr>
                              <a:rPr lang="en-GB" sz="1600" b="0" i="1">
                                <a:latin typeface="Cambria Math" panose="02040503050406030204" pitchFamily="18" charset="0"/>
                              </a:rPr>
                            </m:ctrlPr>
                          </m:dPr>
                          <m:e>
                            <m:r>
                              <a:rPr lang="en-GB" sz="1600" b="0" i="1">
                                <a:latin typeface="Cambria Math" panose="02040503050406030204" pitchFamily="18" charset="0"/>
                              </a:rPr>
                              <m:t>𝑙</m:t>
                            </m:r>
                          </m:e>
                        </m:d>
                      </m:sup>
                    </m:sSup>
                  </m:oMath>
                </m:oMathPara>
              </a14:m>
              <a:endParaRPr lang="en-GB" sz="1600" b="0" i="1">
                <a:latin typeface="Cambria Math" panose="02040503050406030204" pitchFamily="18" charset="0"/>
              </a:endParaRPr>
            </a:p>
            <a:p>
              <a:pPr algn="l"/>
              <a:endParaRPr lang="en-GB" sz="1600" b="0" i="1">
                <a:latin typeface="Cambria Math" panose="02040503050406030204" pitchFamily="18" charset="0"/>
              </a:endParaRPr>
            </a:p>
            <a:p>
              <a:pPr algn="l"/>
              <a14:m>
                <m:oMathPara xmlns:m="http://schemas.openxmlformats.org/officeDocument/2006/math">
                  <m:oMathParaPr>
                    <m:jc m:val="left"/>
                  </m:oMathParaPr>
                  <m:oMath xmlns:m="http://schemas.openxmlformats.org/officeDocument/2006/math">
                    <m:r>
                      <a:rPr lang="en-GB" sz="1600" b="0" i="1">
                        <a:latin typeface="Cambria Math" panose="02040503050406030204" pitchFamily="18" charset="0"/>
                      </a:rPr>
                      <m:t>=</m:t>
                    </m:r>
                    <m:f>
                      <m:fPr>
                        <m:ctrlPr>
                          <a:rPr lang="en-US" sz="1600" i="1">
                            <a:latin typeface="Cambria Math" panose="02040503050406030204" pitchFamily="18" charset="0"/>
                          </a:rPr>
                        </m:ctrlPr>
                      </m:fPr>
                      <m:num>
                        <m:r>
                          <a:rPr lang="en-GB" sz="1600" b="0" i="1">
                            <a:latin typeface="Cambria Math" panose="02040503050406030204" pitchFamily="18" charset="0"/>
                          </a:rPr>
                          <m:t>1</m:t>
                        </m:r>
                      </m:num>
                      <m:den>
                        <m:r>
                          <a:rPr lang="en-GB" sz="1600" b="0" i="1">
                            <a:latin typeface="Cambria Math" panose="02040503050406030204" pitchFamily="18" charset="0"/>
                          </a:rPr>
                          <m:t>𝑚</m:t>
                        </m:r>
                      </m:den>
                    </m:f>
                    <m:r>
                      <a:rPr lang="en-US" sz="1600" b="0" i="1">
                        <a:latin typeface="Cambria Math" panose="02040503050406030204" pitchFamily="18" charset="0"/>
                        <a:ea typeface="Cambria Math" panose="02040503050406030204" pitchFamily="18" charset="0"/>
                      </a:rPr>
                      <m:t>×</m:t>
                    </m:r>
                    <m:d>
                      <m:dPr>
                        <m:begChr m:val="["/>
                        <m:endChr m:val="]"/>
                        <m:ctrlPr>
                          <a:rPr lang="en-US" sz="1600" b="0" i="1">
                            <a:latin typeface="Cambria Math" panose="02040503050406030204" pitchFamily="18" charset="0"/>
                            <a:ea typeface="Cambria Math" panose="02040503050406030204" pitchFamily="18" charset="0"/>
                          </a:rPr>
                        </m:ctrlPr>
                      </m:dPr>
                      <m:e>
                        <m:d>
                          <m:dPr>
                            <m:ctrlPr>
                              <a:rPr lang="en-US" sz="1600" b="0" i="1">
                                <a:latin typeface="Cambria Math" panose="02040503050406030204" pitchFamily="18" charset="0"/>
                                <a:ea typeface="Cambria Math" panose="02040503050406030204" pitchFamily="18" charset="0"/>
                              </a:rPr>
                            </m:ctrlPr>
                          </m:dPr>
                          <m:e>
                            <m:d>
                              <m:dPr>
                                <m:begChr m:val="["/>
                                <m:endChr m:val="]"/>
                                <m:ctrlPr>
                                  <a:rPr lang="en-US" sz="1600" b="0" i="1">
                                    <a:latin typeface="Cambria Math" panose="02040503050406030204" pitchFamily="18" charset="0"/>
                                    <a:ea typeface="Cambria Math" panose="02040503050406030204" pitchFamily="18" charset="0"/>
                                  </a:rPr>
                                </m:ctrlPr>
                              </m:dPr>
                              <m:e>
                                <m:r>
                                  <a:rPr lang="en-GB" sz="1600" i="1">
                                    <a:latin typeface="Cambria Math" panose="02040503050406030204" pitchFamily="18" charset="0"/>
                                  </a:rPr>
                                  <m:t>2</m:t>
                                </m:r>
                                <m:d>
                                  <m:dPr>
                                    <m:ctrlPr>
                                      <a:rPr lang="en-US" sz="1600" i="1">
                                        <a:latin typeface="Cambria Math" panose="02040503050406030204" pitchFamily="18" charset="0"/>
                                      </a:rPr>
                                    </m:ctrlPr>
                                  </m:dPr>
                                  <m:e>
                                    <m:r>
                                      <a:rPr lang="en-GB" sz="1600" b="0" i="1">
                                        <a:latin typeface="Cambria Math" panose="02040503050406030204" pitchFamily="18" charset="0"/>
                                      </a:rPr>
                                      <m:t>𝑦</m:t>
                                    </m:r>
                                    <m:r>
                                      <a:rPr lang="en-GB" sz="1600" b="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4</m:t>
                                        </m:r>
                                      </m:sub>
                                    </m:sSub>
                                  </m:e>
                                </m:d>
                                <m:r>
                                  <a:rPr lang="en-US" sz="1600" b="0" i="1">
                                    <a:latin typeface="Cambria Math" panose="02040503050406030204" pitchFamily="18" charset="0"/>
                                    <a:ea typeface="Cambria Math" panose="02040503050406030204" pitchFamily="18" charset="0"/>
                                  </a:rPr>
                                  <m:t>×</m:t>
                                </m:r>
                                <m:d>
                                  <m:dPr>
                                    <m:ctrlPr>
                                      <a:rPr lang="en-US" sz="1600" b="0" i="1">
                                        <a:latin typeface="Cambria Math" panose="02040503050406030204" pitchFamily="18" charset="0"/>
                                        <a:ea typeface="Cambria Math" panose="02040503050406030204" pitchFamily="18" charset="0"/>
                                      </a:rPr>
                                    </m:ctrlPr>
                                  </m:dPr>
                                  <m:e>
                                    <m:r>
                                      <a:rPr lang="en-GB" sz="1600" b="0" i="1">
                                        <a:latin typeface="Cambria Math" panose="02040503050406030204" pitchFamily="18" charset="0"/>
                                        <a:ea typeface="Cambria Math" panose="02040503050406030204" pitchFamily="18" charset="0"/>
                                      </a:rPr>
                                      <m:t>−1</m:t>
                                    </m:r>
                                  </m:e>
                                </m:d>
                              </m:e>
                            </m:d>
                            <m:r>
                              <a:rPr lang="en-US" sz="1600" b="0" i="1">
                                <a:latin typeface="Cambria Math" panose="02040503050406030204" pitchFamily="18" charset="0"/>
                                <a:ea typeface="Cambria Math" panose="02040503050406030204" pitchFamily="18" charset="0"/>
                              </a:rPr>
                              <m:t>×</m:t>
                            </m:r>
                            <m:d>
                              <m:dPr>
                                <m:begChr m:val="["/>
                                <m:endChr m:val="]"/>
                                <m:ctrlPr>
                                  <a:rPr lang="en-US" sz="1600" b="0" i="1">
                                    <a:latin typeface="Cambria Math" panose="02040503050406030204" pitchFamily="18" charset="0"/>
                                    <a:ea typeface="Cambria Math" panose="02040503050406030204" pitchFamily="18" charset="0"/>
                                  </a:rPr>
                                </m:ctrlPr>
                              </m:dPr>
                              <m:e>
                                <m:f>
                                  <m:fPr>
                                    <m:ctrlPr>
                                      <a:rPr lang="en-US" sz="1600" i="1">
                                        <a:latin typeface="Cambria Math" panose="02040503050406030204" pitchFamily="18" charset="0"/>
                                      </a:rPr>
                                    </m:ctrlPr>
                                  </m:fPr>
                                  <m:num>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4</m:t>
                                        </m:r>
                                      </m:sub>
                                    </m:sSub>
                                  </m:num>
                                  <m:den>
                                    <m:r>
                                      <a:rPr lang="en-US" sz="1600" i="1">
                                        <a:latin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4</m:t>
                                        </m:r>
                                      </m:sub>
                                    </m:sSub>
                                  </m:den>
                                </m:f>
                              </m:e>
                            </m:d>
                          </m:e>
                        </m:d>
                        <m:r>
                          <a:rPr lang="en-US" sz="1600" i="1">
                            <a:latin typeface="Cambria Math" panose="02040503050406030204" pitchFamily="18" charset="0"/>
                            <a:ea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3</m:t>
                            </m:r>
                          </m:sub>
                        </m:sSub>
                      </m:e>
                    </m:d>
                    <m:r>
                      <a:rPr lang="en-GB" sz="1600" b="0" i="1">
                        <a:latin typeface="Cambria Math" panose="02040503050406030204" pitchFamily="18" charset="0"/>
                      </a:rPr>
                      <m:t>+</m:t>
                    </m:r>
                    <m:f>
                      <m:fPr>
                        <m:ctrlPr>
                          <a:rPr lang="en-GB" sz="1600" b="0" i="1">
                            <a:latin typeface="Cambria Math" panose="02040503050406030204" pitchFamily="18" charset="0"/>
                          </a:rPr>
                        </m:ctrlPr>
                      </m:fPr>
                      <m:num>
                        <m:r>
                          <a:rPr lang="en-GB" sz="1600" b="0" i="1">
                            <a:latin typeface="Cambria Math" panose="02040503050406030204" pitchFamily="18" charset="0"/>
                            <a:ea typeface="Cambria Math" panose="02040503050406030204" pitchFamily="18" charset="0"/>
                          </a:rPr>
                          <m:t>𝜆</m:t>
                        </m:r>
                      </m:num>
                      <m:den>
                        <m:r>
                          <a:rPr lang="en-GB" sz="1600" b="0" i="1">
                            <a:latin typeface="Cambria Math" panose="02040503050406030204" pitchFamily="18" charset="0"/>
                          </a:rPr>
                          <m:t>𝑚</m:t>
                        </m:r>
                      </m:den>
                    </m:f>
                    <m:sSup>
                      <m:sSupPr>
                        <m:ctrlPr>
                          <a:rPr lang="en-GB" sz="1600" b="0" i="1">
                            <a:latin typeface="Cambria Math" panose="02040503050406030204" pitchFamily="18" charset="0"/>
                          </a:rPr>
                        </m:ctrlPr>
                      </m:sSupPr>
                      <m:e>
                        <m:r>
                          <a:rPr lang="en-GB" sz="1600" b="0" i="1">
                            <a:latin typeface="Cambria Math" panose="02040503050406030204" pitchFamily="18" charset="0"/>
                            <a:ea typeface="Cambria Math" panose="02040503050406030204" pitchFamily="18" charset="0"/>
                          </a:rPr>
                          <m:t>𝜃</m:t>
                        </m:r>
                      </m:e>
                      <m:sup>
                        <m:d>
                          <m:dPr>
                            <m:begChr m:val="["/>
                            <m:endChr m:val="]"/>
                            <m:ctrlPr>
                              <a:rPr lang="en-GB" sz="1600" b="0" i="1">
                                <a:latin typeface="Cambria Math" panose="02040503050406030204" pitchFamily="18" charset="0"/>
                              </a:rPr>
                            </m:ctrlPr>
                          </m:dPr>
                          <m:e>
                            <m:r>
                              <a:rPr lang="en-GB" sz="1600" b="0" i="1">
                                <a:latin typeface="Cambria Math" panose="02040503050406030204" pitchFamily="18" charset="0"/>
                              </a:rPr>
                              <m:t>𝑙</m:t>
                            </m:r>
                          </m:e>
                        </m:d>
                      </m:sup>
                    </m:sSup>
                  </m:oMath>
                </m:oMathPara>
              </a14:m>
              <a:endParaRPr lang="en-GB" sz="1600" b="0" i="1">
                <a:latin typeface="Cambria Math" panose="02040503050406030204" pitchFamily="18" charset="0"/>
              </a:endParaRPr>
            </a:p>
            <a:p>
              <a:pPr algn="l"/>
              <a:endParaRPr lang="en-GB" sz="1600" b="0" i="1">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r>
                      <a:rPr lang="en-GB" sz="1600" b="0" i="1">
                        <a:latin typeface="Cambria Math" panose="02040503050406030204" pitchFamily="18" charset="0"/>
                      </a:rPr>
                      <m:t>=</m:t>
                    </m:r>
                    <m:f>
                      <m:fPr>
                        <m:ctrlPr>
                          <a:rPr lang="en-US" sz="1600" i="1">
                            <a:latin typeface="Cambria Math" panose="02040503050406030204" pitchFamily="18" charset="0"/>
                          </a:rPr>
                        </m:ctrlPr>
                      </m:fPr>
                      <m:num>
                        <m:r>
                          <a:rPr lang="en-GB" sz="1600" b="0" i="1">
                            <a:latin typeface="Cambria Math" panose="02040503050406030204" pitchFamily="18" charset="0"/>
                          </a:rPr>
                          <m:t>1</m:t>
                        </m:r>
                      </m:num>
                      <m:den>
                        <m:r>
                          <a:rPr lang="en-GB" sz="1600" b="0" i="1">
                            <a:latin typeface="Cambria Math" panose="02040503050406030204" pitchFamily="18" charset="0"/>
                          </a:rPr>
                          <m:t>𝑚</m:t>
                        </m:r>
                      </m:den>
                    </m:f>
                    <m:sSub>
                      <m:sSubPr>
                        <m:ctrlPr>
                          <a:rPr lang="en-GB" sz="1600" b="0" i="1">
                            <a:latin typeface="Cambria Math" panose="02040503050406030204" pitchFamily="18" charset="0"/>
                          </a:rPr>
                        </m:ctrlPr>
                      </m:sSubPr>
                      <m:e>
                        <m:r>
                          <a:rPr lang="en-GB" sz="1600" b="0" i="1">
                            <a:latin typeface="Cambria Math" panose="02040503050406030204" pitchFamily="18" charset="0"/>
                          </a:rPr>
                          <m:t>𝑑</m:t>
                        </m:r>
                      </m:e>
                      <m:sub>
                        <m:r>
                          <a:rPr lang="en-GB" sz="1600" b="0" i="1">
                            <a:latin typeface="Cambria Math" panose="02040503050406030204" pitchFamily="18" charset="0"/>
                          </a:rPr>
                          <m:t>4</m:t>
                        </m:r>
                      </m:sub>
                    </m:sSub>
                    <m:r>
                      <a:rPr lang="en-US" sz="1600" i="1">
                        <a:latin typeface="Cambria Math" panose="02040503050406030204" pitchFamily="18" charset="0"/>
                        <a:ea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3</m:t>
                        </m:r>
                      </m:sub>
                    </m:sSub>
                    <m:r>
                      <a:rPr lang="en-GB" sz="1600" b="0" i="1">
                        <a:latin typeface="Cambria Math" panose="02040503050406030204" pitchFamily="18" charset="0"/>
                      </a:rPr>
                      <m:t>+</m:t>
                    </m:r>
                    <m:f>
                      <m:fPr>
                        <m:ctrlPr>
                          <a:rPr lang="en-GB" sz="1600" b="0" i="1">
                            <a:latin typeface="Cambria Math" panose="02040503050406030204" pitchFamily="18" charset="0"/>
                          </a:rPr>
                        </m:ctrlPr>
                      </m:fPr>
                      <m:num>
                        <m:r>
                          <a:rPr lang="en-GB" sz="1600" b="0" i="1">
                            <a:latin typeface="Cambria Math" panose="02040503050406030204" pitchFamily="18" charset="0"/>
                            <a:ea typeface="Cambria Math" panose="02040503050406030204" pitchFamily="18" charset="0"/>
                          </a:rPr>
                          <m:t>𝜆</m:t>
                        </m:r>
                      </m:num>
                      <m:den>
                        <m:r>
                          <a:rPr lang="en-GB" sz="1600" b="0" i="1">
                            <a:latin typeface="Cambria Math" panose="02040503050406030204" pitchFamily="18" charset="0"/>
                          </a:rPr>
                          <m:t>𝑚</m:t>
                        </m:r>
                      </m:den>
                    </m:f>
                    <m:sSup>
                      <m:sSupPr>
                        <m:ctrlPr>
                          <a:rPr lang="en-GB" sz="1600" b="0" i="1">
                            <a:latin typeface="Cambria Math" panose="02040503050406030204" pitchFamily="18" charset="0"/>
                          </a:rPr>
                        </m:ctrlPr>
                      </m:sSupPr>
                      <m:e>
                        <m:r>
                          <a:rPr lang="en-GB" sz="1600" b="0" i="1">
                            <a:latin typeface="Cambria Math" panose="02040503050406030204" pitchFamily="18" charset="0"/>
                            <a:ea typeface="Cambria Math" panose="02040503050406030204" pitchFamily="18" charset="0"/>
                          </a:rPr>
                          <m:t>𝜃</m:t>
                        </m:r>
                      </m:e>
                      <m:sup>
                        <m:d>
                          <m:dPr>
                            <m:begChr m:val="["/>
                            <m:endChr m:val="]"/>
                            <m:ctrlPr>
                              <a:rPr lang="en-GB" sz="1600" b="0" i="1">
                                <a:latin typeface="Cambria Math" panose="02040503050406030204" pitchFamily="18" charset="0"/>
                              </a:rPr>
                            </m:ctrlPr>
                          </m:dPr>
                          <m:e>
                            <m:r>
                              <a:rPr lang="en-GB" sz="1600" b="0" i="1">
                                <a:latin typeface="Cambria Math" panose="02040503050406030204" pitchFamily="18" charset="0"/>
                              </a:rPr>
                              <m:t>𝑙</m:t>
                            </m:r>
                          </m:e>
                        </m:d>
                      </m:sup>
                    </m:sSup>
                  </m:oMath>
                </m:oMathPara>
              </a14:m>
              <a:endParaRPr lang="en-GB" sz="1600" b="0"/>
            </a:p>
            <a:p>
              <a:pPr marL="0" marR="0" lvl="0" indent="0" algn="l" defTabSz="914400" eaLnBrk="1" fontAlgn="auto" latinLnBrk="0" hangingPunct="1">
                <a:lnSpc>
                  <a:spcPct val="100000"/>
                </a:lnSpc>
                <a:spcBef>
                  <a:spcPts val="0"/>
                </a:spcBef>
                <a:spcAft>
                  <a:spcPts val="0"/>
                </a:spcAft>
                <a:buClrTx/>
                <a:buSzTx/>
                <a:buFontTx/>
                <a:buNone/>
                <a:tabLst/>
                <a:defRPr/>
              </a:pPr>
              <a:endParaRPr lang="en-GB" sz="1600" b="0"/>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r>
                      <a:rPr lang="en-GB" sz="1600" b="0" i="1">
                        <a:latin typeface="Cambria Math" panose="02040503050406030204" pitchFamily="18" charset="0"/>
                        <a:ea typeface="Cambria Math" panose="02040503050406030204" pitchFamily="18" charset="0"/>
                      </a:rPr>
                      <m:t>↔</m:t>
                    </m:r>
                    <m:sSup>
                      <m:sSupPr>
                        <m:ctrlPr>
                          <a:rPr lang="en-GB" sz="1600" b="0" i="1">
                            <a:latin typeface="Cambria Math" panose="02040503050406030204" pitchFamily="18" charset="0"/>
                          </a:rPr>
                        </m:ctrlPr>
                      </m:sSupPr>
                      <m:e>
                        <m:r>
                          <a:rPr lang="en-GB" sz="1600" b="0" i="1">
                            <a:latin typeface="Cambria Math" panose="02040503050406030204" pitchFamily="18" charset="0"/>
                            <a:ea typeface="Cambria Math" panose="02040503050406030204" pitchFamily="18" charset="0"/>
                          </a:rPr>
                          <m:t>𝜃</m:t>
                        </m:r>
                      </m:e>
                      <m:sup>
                        <m:d>
                          <m:dPr>
                            <m:begChr m:val="["/>
                            <m:endChr m:val="]"/>
                            <m:ctrlPr>
                              <a:rPr lang="en-GB" sz="1600" b="0" i="1">
                                <a:latin typeface="Cambria Math" panose="02040503050406030204" pitchFamily="18" charset="0"/>
                              </a:rPr>
                            </m:ctrlPr>
                          </m:dPr>
                          <m:e>
                            <m:r>
                              <a:rPr lang="en-GB" sz="1600" b="0" i="1">
                                <a:latin typeface="Cambria Math" panose="02040503050406030204" pitchFamily="18" charset="0"/>
                              </a:rPr>
                              <m:t>𝑙</m:t>
                            </m:r>
                          </m:e>
                        </m:d>
                      </m:sup>
                    </m:sSup>
                    <m:r>
                      <a:rPr lang="en-GB" sz="1600" b="0" i="1">
                        <a:latin typeface="Cambria Math" panose="02040503050406030204" pitchFamily="18" charset="0"/>
                      </a:rPr>
                      <m:t>≔</m:t>
                    </m:r>
                    <m:sSup>
                      <m:sSupPr>
                        <m:ctrlPr>
                          <a:rPr lang="en-GB" sz="1600" b="0" i="1">
                            <a:latin typeface="Cambria Math" panose="02040503050406030204" pitchFamily="18" charset="0"/>
                          </a:rPr>
                        </m:ctrlPr>
                      </m:sSupPr>
                      <m:e>
                        <m:r>
                          <a:rPr lang="en-GB" sz="1600" b="0" i="1">
                            <a:latin typeface="Cambria Math" panose="02040503050406030204" pitchFamily="18" charset="0"/>
                            <a:ea typeface="Cambria Math" panose="02040503050406030204" pitchFamily="18" charset="0"/>
                          </a:rPr>
                          <m:t>𝜃</m:t>
                        </m:r>
                      </m:e>
                      <m:sup>
                        <m:d>
                          <m:dPr>
                            <m:begChr m:val="["/>
                            <m:endChr m:val="]"/>
                            <m:ctrlPr>
                              <a:rPr lang="en-GB" sz="1600" b="0" i="1">
                                <a:latin typeface="Cambria Math" panose="02040503050406030204" pitchFamily="18" charset="0"/>
                              </a:rPr>
                            </m:ctrlPr>
                          </m:dPr>
                          <m:e>
                            <m:r>
                              <a:rPr lang="en-GB" sz="1600" b="0" i="1">
                                <a:latin typeface="Cambria Math" panose="02040503050406030204" pitchFamily="18" charset="0"/>
                              </a:rPr>
                              <m:t>𝑙</m:t>
                            </m:r>
                          </m:e>
                        </m:d>
                      </m:sup>
                    </m:sSup>
                    <m:r>
                      <a:rPr lang="en-GB" sz="1600" b="0" i="1">
                        <a:latin typeface="Cambria Math" panose="02040503050406030204" pitchFamily="18" charset="0"/>
                      </a:rPr>
                      <m:t>−</m:t>
                    </m:r>
                    <m:r>
                      <a:rPr lang="en-GB" sz="1600" b="0" i="1">
                        <a:latin typeface="Cambria Math" panose="02040503050406030204" pitchFamily="18" charset="0"/>
                        <a:ea typeface="Cambria Math" panose="02040503050406030204" pitchFamily="18" charset="0"/>
                      </a:rPr>
                      <m:t>𝛼</m:t>
                    </m:r>
                    <m:d>
                      <m:dPr>
                        <m:ctrlPr>
                          <a:rPr lang="en-GB" sz="1600" b="0" i="1">
                            <a:latin typeface="Cambria Math" panose="02040503050406030204" pitchFamily="18" charset="0"/>
                            <a:ea typeface="Cambria Math" panose="02040503050406030204" pitchFamily="18" charset="0"/>
                          </a:rPr>
                        </m:ctrlPr>
                      </m:dPr>
                      <m:e>
                        <m:f>
                          <m:fPr>
                            <m:ctrlPr>
                              <a:rPr lang="en-US" sz="1600" i="1">
                                <a:latin typeface="Cambria Math" panose="02040503050406030204" pitchFamily="18" charset="0"/>
                              </a:rPr>
                            </m:ctrlPr>
                          </m:fPr>
                          <m:num>
                            <m:r>
                              <a:rPr lang="en-US" sz="1600" i="1">
                                <a:latin typeface="Cambria Math" panose="02040503050406030204" pitchFamily="18" charset="0"/>
                                <a:ea typeface="Cambria Math" panose="02040503050406030204" pitchFamily="18" charset="0"/>
                              </a:rPr>
                              <m:t>𝜆</m:t>
                            </m:r>
                          </m:num>
                          <m:den>
                            <m:r>
                              <a:rPr lang="en-GB" sz="1600" b="0" i="1">
                                <a:latin typeface="Cambria Math" panose="02040503050406030204" pitchFamily="18" charset="0"/>
                              </a:rPr>
                              <m:t>𝑚</m:t>
                            </m:r>
                          </m:den>
                        </m:f>
                        <m:sSup>
                          <m:sSupPr>
                            <m:ctrlPr>
                              <a:rPr lang="en-GB" sz="1600" b="0" i="1">
                                <a:latin typeface="Cambria Math" panose="02040503050406030204" pitchFamily="18" charset="0"/>
                              </a:rPr>
                            </m:ctrlPr>
                          </m:sSupPr>
                          <m:e>
                            <m:r>
                              <a:rPr lang="en-GB" sz="1600" b="0" i="1">
                                <a:latin typeface="Cambria Math" panose="02040503050406030204" pitchFamily="18" charset="0"/>
                                <a:ea typeface="Cambria Math" panose="02040503050406030204" pitchFamily="18" charset="0"/>
                              </a:rPr>
                              <m:t>𝜃</m:t>
                            </m:r>
                          </m:e>
                          <m:sup>
                            <m:d>
                              <m:dPr>
                                <m:begChr m:val="["/>
                                <m:endChr m:val="]"/>
                                <m:ctrlPr>
                                  <a:rPr lang="en-GB" sz="1600" b="0" i="1">
                                    <a:latin typeface="Cambria Math" panose="02040503050406030204" pitchFamily="18" charset="0"/>
                                  </a:rPr>
                                </m:ctrlPr>
                              </m:dPr>
                              <m:e>
                                <m:r>
                                  <a:rPr lang="en-GB" sz="1600" b="0" i="1">
                                    <a:latin typeface="Cambria Math" panose="02040503050406030204" pitchFamily="18" charset="0"/>
                                  </a:rPr>
                                  <m:t>𝑙</m:t>
                                </m:r>
                              </m:e>
                            </m:d>
                          </m:sup>
                        </m:sSup>
                      </m:e>
                    </m:d>
                    <m:r>
                      <a:rPr lang="en-GB" sz="1600" b="0" i="1">
                        <a:latin typeface="Cambria Math" panose="02040503050406030204" pitchFamily="18" charset="0"/>
                      </a:rPr>
                      <m:t>−</m:t>
                    </m:r>
                    <m:r>
                      <a:rPr lang="en-GB" sz="1600" b="0" i="1">
                        <a:latin typeface="Cambria Math" panose="02040503050406030204" pitchFamily="18" charset="0"/>
                        <a:ea typeface="Cambria Math" panose="02040503050406030204" pitchFamily="18" charset="0"/>
                      </a:rPr>
                      <m:t>𝛼</m:t>
                    </m:r>
                    <m:d>
                      <m:dPr>
                        <m:ctrlPr>
                          <a:rPr lang="en-GB" sz="1600" b="0" i="1">
                            <a:latin typeface="Cambria Math" panose="02040503050406030204" pitchFamily="18" charset="0"/>
                            <a:ea typeface="Cambria Math" panose="02040503050406030204" pitchFamily="18" charset="0"/>
                          </a:rPr>
                        </m:ctrlPr>
                      </m:dPr>
                      <m:e>
                        <m:f>
                          <m:fPr>
                            <m:ctrlPr>
                              <a:rPr lang="en-US" sz="1600" i="1">
                                <a:latin typeface="Cambria Math" panose="02040503050406030204" pitchFamily="18" charset="0"/>
                              </a:rPr>
                            </m:ctrlPr>
                          </m:fPr>
                          <m:num>
                            <m:r>
                              <a:rPr lang="en-GB" sz="1600" b="0" i="1">
                                <a:latin typeface="Cambria Math" panose="02040503050406030204" pitchFamily="18" charset="0"/>
                              </a:rPr>
                              <m:t>1</m:t>
                            </m:r>
                          </m:num>
                          <m:den>
                            <m:r>
                              <a:rPr lang="en-GB" sz="1600" b="0" i="1">
                                <a:latin typeface="Cambria Math" panose="02040503050406030204" pitchFamily="18" charset="0"/>
                              </a:rPr>
                              <m:t>𝑚</m:t>
                            </m:r>
                          </m:den>
                        </m:f>
                        <m:sSub>
                          <m:sSubPr>
                            <m:ctrlPr>
                              <a:rPr lang="en-GB" sz="1600" b="0" i="1">
                                <a:latin typeface="Cambria Math" panose="02040503050406030204" pitchFamily="18" charset="0"/>
                              </a:rPr>
                            </m:ctrlPr>
                          </m:sSubPr>
                          <m:e>
                            <m:r>
                              <a:rPr lang="en-GB" sz="1600" b="0" i="1">
                                <a:latin typeface="Cambria Math" panose="02040503050406030204" pitchFamily="18" charset="0"/>
                              </a:rPr>
                              <m:t>𝑑</m:t>
                            </m:r>
                          </m:e>
                          <m:sub>
                            <m:r>
                              <a:rPr lang="en-GB" sz="1600" b="0" i="1">
                                <a:latin typeface="Cambria Math" panose="02040503050406030204" pitchFamily="18" charset="0"/>
                              </a:rPr>
                              <m:t>𝑙</m:t>
                            </m:r>
                          </m:sub>
                        </m:sSub>
                        <m:r>
                          <a:rPr lang="en-US" sz="1600" i="1">
                            <a:latin typeface="Cambria Math" panose="02040503050406030204" pitchFamily="18" charset="0"/>
                            <a:ea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𝑙</m:t>
                            </m:r>
                            <m:r>
                              <a:rPr lang="en-GB" sz="1600" b="0" i="1">
                                <a:latin typeface="Cambria Math" panose="02040503050406030204" pitchFamily="18" charset="0"/>
                              </a:rPr>
                              <m:t>−1</m:t>
                            </m:r>
                          </m:sub>
                        </m:sSub>
                      </m:e>
                    </m:d>
                  </m:oMath>
                </m:oMathPara>
              </a14:m>
              <a:endParaRPr lang="en-GB" sz="1600" b="0"/>
            </a:p>
            <a:p>
              <a:pPr marL="0" marR="0" lvl="0" indent="0" algn="l" defTabSz="914400" eaLnBrk="1" fontAlgn="auto" latinLnBrk="0" hangingPunct="1">
                <a:lnSpc>
                  <a:spcPct val="100000"/>
                </a:lnSpc>
                <a:spcBef>
                  <a:spcPts val="0"/>
                </a:spcBef>
                <a:spcAft>
                  <a:spcPts val="0"/>
                </a:spcAft>
                <a:buClrTx/>
                <a:buSzTx/>
                <a:buFontTx/>
                <a:buNone/>
                <a:tabLst/>
                <a:defRPr/>
              </a:pPr>
              <a:endParaRPr lang="en-GB" sz="1600" b="0"/>
            </a:p>
          </xdr:txBody>
        </xdr:sp>
      </mc:Choice>
      <mc:Fallback xmlns="">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25313053" y="2310258"/>
              <a:ext cx="5244124" cy="5516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r>
                <a:rPr lang="en-GB" sz="1600" b="0" i="0">
                  <a:latin typeface="Cambria Math" panose="02040503050406030204" pitchFamily="18" charset="0"/>
                </a:rPr>
                <a:t>𝑀𝑆𝐸=(1</a:t>
              </a:r>
              <a:r>
                <a:rPr lang="en-US" sz="1600" b="0" i="0">
                  <a:latin typeface="Cambria Math" panose="02040503050406030204" pitchFamily="18" charset="0"/>
                </a:rPr>
                <a:t>/</a:t>
              </a:r>
              <a:r>
                <a:rPr lang="en-GB" sz="1600" b="0" i="0">
                  <a:latin typeface="Cambria Math" panose="02040503050406030204" pitchFamily="18" charset="0"/>
                </a:rPr>
                <a:t>𝑚 ∑_(𝑖=1)^𝑚▒𝜀_𝑖^2 )+</a:t>
              </a:r>
              <a:r>
                <a:rPr lang="en-GB" sz="1600" b="0" i="0">
                  <a:latin typeface="Cambria Math" panose="02040503050406030204" pitchFamily="18" charset="0"/>
                  <a:ea typeface="Cambria Math" panose="02040503050406030204" pitchFamily="18" charset="0"/>
                </a:rPr>
                <a:t>𝜆/</a:t>
              </a:r>
              <a:r>
                <a:rPr lang="en-GB" sz="1600" b="0" i="0">
                  <a:latin typeface="Cambria Math" panose="02040503050406030204" pitchFamily="18" charset="0"/>
                </a:rPr>
                <a:t>2𝑚 ∑_(𝑖=𝑙)^𝐿▒‖</a:t>
              </a:r>
              <a:r>
                <a:rPr lang="en-GB" sz="1600" b="0" i="0">
                  <a:latin typeface="Cambria Math" panose="02040503050406030204" pitchFamily="18" charset="0"/>
                  <a:ea typeface="Cambria Math" panose="02040503050406030204" pitchFamily="18" charset="0"/>
                </a:rPr>
                <a:t>𝜃^[</a:t>
              </a:r>
              <a:r>
                <a:rPr lang="en-GB" sz="1600" b="0" i="0">
                  <a:latin typeface="Cambria Math" panose="02040503050406030204" pitchFamily="18" charset="0"/>
                </a:rPr>
                <a:t>𝑙]  ‖_𝐹^2 </a:t>
              </a:r>
              <a:endParaRPr lang="en-US" sz="1600" i="1">
                <a:latin typeface="Cambria Math" panose="02040503050406030204" pitchFamily="18" charset="0"/>
              </a:endParaRPr>
            </a:p>
            <a:p>
              <a:pPr algn="l"/>
              <a:endParaRPr lang="en-US" sz="1600" i="1">
                <a:latin typeface="Cambria Math" panose="02040503050406030204" pitchFamily="18" charset="0"/>
              </a:endParaRPr>
            </a:p>
            <a:p>
              <a:pPr algn="l"/>
              <a:r>
                <a:rPr lang="en-US" sz="1600" i="0">
                  <a:latin typeface="Cambria Math" panose="02040503050406030204" pitchFamily="18" charset="0"/>
                </a:rPr>
                <a:t>𝜕</a:t>
              </a:r>
              <a:r>
                <a:rPr lang="en-GB" sz="1600" b="0" i="0">
                  <a:latin typeface="Cambria Math" panose="02040503050406030204" pitchFamily="18" charset="0"/>
                </a:rPr>
                <a:t>𝑀𝑆𝐸</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ea typeface="Cambria Math" panose="02040503050406030204" pitchFamily="18" charset="0"/>
                </a:rPr>
                <a:t>𝜃</a:t>
              </a:r>
              <a:r>
                <a:rPr lang="en-US" sz="1600" b="0" i="0">
                  <a:latin typeface="Cambria Math" panose="02040503050406030204" pitchFamily="18" charset="0"/>
                  <a:ea typeface="Cambria Math" panose="02040503050406030204" pitchFamily="18" charset="0"/>
                </a:rPr>
                <a:t>_</a:t>
              </a:r>
              <a:r>
                <a:rPr lang="en-GB" sz="1600" b="0" i="0">
                  <a:latin typeface="Cambria Math" panose="02040503050406030204" pitchFamily="18" charset="0"/>
                </a:rPr>
                <a:t>3 </a:t>
              </a:r>
              <a:r>
                <a:rPr lang="en-US" sz="1600" b="0" i="0">
                  <a:latin typeface="Cambria Math" panose="02040503050406030204" pitchFamily="18" charset="0"/>
                </a:rPr>
                <a:t>)</a:t>
              </a:r>
              <a:r>
                <a:rPr lang="en-GB" sz="1600" b="0" i="0">
                  <a:latin typeface="Cambria Math" panose="02040503050406030204" pitchFamily="18" charset="0"/>
                </a:rPr>
                <a:t>=1</a:t>
              </a:r>
              <a:r>
                <a:rPr lang="en-US" sz="1600" b="0" i="0">
                  <a:latin typeface="Cambria Math" panose="02040503050406030204" pitchFamily="18" charset="0"/>
                </a:rPr>
                <a:t>/</a:t>
              </a:r>
              <a:r>
                <a:rPr lang="en-GB" sz="1600" b="0" i="0">
                  <a:latin typeface="Cambria Math" panose="02040503050406030204" pitchFamily="18" charset="0"/>
                </a:rPr>
                <a:t>𝑚</a:t>
              </a:r>
              <a:r>
                <a:rPr lang="en-GB" sz="1600" b="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rPr>
                <a:t>[</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a:t>
              </a:r>
              <a:r>
                <a:rPr lang="en-US" sz="1600" i="0">
                  <a:latin typeface="Cambria Math" panose="02040503050406030204" pitchFamily="18" charset="0"/>
                </a:rPr>
                <a:t>𝜀^</a:t>
              </a:r>
              <a:r>
                <a:rPr lang="en-GB" sz="1600" b="0" i="0">
                  <a:latin typeface="Cambria Math" panose="02040503050406030204" pitchFamily="18" charset="0"/>
                </a:rPr>
                <a:t>2 </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ea typeface="Cambria Math" panose="02040503050406030204" pitchFamily="18" charset="0"/>
                </a:rPr>
                <a:t>𝜃</a:t>
              </a:r>
              <a:r>
                <a:rPr lang="en-US" sz="1600" b="0" i="0">
                  <a:latin typeface="Cambria Math" panose="02040503050406030204" pitchFamily="18" charset="0"/>
                  <a:ea typeface="Cambria Math" panose="02040503050406030204" pitchFamily="18" charset="0"/>
                </a:rPr>
                <a:t>_</a:t>
              </a:r>
              <a:r>
                <a:rPr lang="en-GB" sz="1600" b="0" i="0">
                  <a:latin typeface="Cambria Math" panose="02040503050406030204" pitchFamily="18" charset="0"/>
                </a:rPr>
                <a:t>3 </a:t>
              </a:r>
              <a:r>
                <a:rPr lang="en-US" sz="1600" b="0" i="0">
                  <a:latin typeface="Cambria Math" panose="02040503050406030204" pitchFamily="18" charset="0"/>
                </a:rPr>
                <a:t>)</a:t>
              </a:r>
              <a:r>
                <a:rPr lang="en-GB" sz="1600" b="0" i="0">
                  <a:latin typeface="Cambria Math" panose="02040503050406030204" pitchFamily="18" charset="0"/>
                </a:rPr>
                <a:t>]+</a:t>
              </a:r>
              <a:r>
                <a:rPr lang="en-GB" sz="1600" b="0" i="0">
                  <a:latin typeface="Cambria Math" panose="02040503050406030204" pitchFamily="18" charset="0"/>
                  <a:ea typeface="Cambria Math" panose="02040503050406030204" pitchFamily="18" charset="0"/>
                </a:rPr>
                <a:t>𝜆/</a:t>
              </a:r>
              <a:r>
                <a:rPr lang="en-GB" sz="1600" b="0" i="0">
                  <a:latin typeface="Cambria Math" panose="02040503050406030204" pitchFamily="18" charset="0"/>
                </a:rPr>
                <a:t>𝑚 </a:t>
              </a:r>
              <a:r>
                <a:rPr lang="en-GB" sz="1600" b="0" i="0">
                  <a:latin typeface="Cambria Math" panose="02040503050406030204" pitchFamily="18" charset="0"/>
                  <a:ea typeface="Cambria Math" panose="02040503050406030204" pitchFamily="18" charset="0"/>
                </a:rPr>
                <a:t>𝜃^[</a:t>
              </a:r>
              <a:r>
                <a:rPr lang="en-GB" sz="1600" b="0" i="0">
                  <a:latin typeface="Cambria Math" panose="02040503050406030204" pitchFamily="18" charset="0"/>
                </a:rPr>
                <a:t>𝑙] </a:t>
              </a:r>
              <a:endParaRPr lang="en-GB" sz="1600" i="1">
                <a:latin typeface="Cambria Math" panose="02040503050406030204" pitchFamily="18" charset="0"/>
              </a:endParaRPr>
            </a:p>
            <a:p>
              <a:pPr algn="l"/>
              <a:endParaRPr lang="en-GB" sz="1600" i="1">
                <a:latin typeface="Cambria Math" panose="02040503050406030204" pitchFamily="18" charset="0"/>
              </a:endParaRPr>
            </a:p>
            <a:p>
              <a:pPr algn="l"/>
              <a:r>
                <a:rPr lang="en-GB" sz="1600" b="0" i="0">
                  <a:latin typeface="Cambria Math" panose="02040503050406030204" pitchFamily="18" charset="0"/>
                </a:rPr>
                <a:t>=1</a:t>
              </a:r>
              <a:r>
                <a:rPr lang="en-US" sz="1600" b="0" i="0">
                  <a:latin typeface="Cambria Math" panose="02040503050406030204" pitchFamily="18" charset="0"/>
                </a:rPr>
                <a:t>/</a:t>
              </a:r>
              <a:r>
                <a:rPr lang="en-GB" sz="1600" b="0" i="0">
                  <a:latin typeface="Cambria Math" panose="02040503050406030204" pitchFamily="18" charset="0"/>
                </a:rPr>
                <a:t>𝑚</a:t>
              </a:r>
              <a:r>
                <a:rPr lang="en-US" sz="1600" b="0" i="0">
                  <a:latin typeface="Cambria Math" panose="02040503050406030204" pitchFamily="18" charset="0"/>
                  <a:ea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a:t>
              </a:r>
              <a:r>
                <a:rPr lang="en-US" sz="1600" i="0">
                  <a:latin typeface="Cambria Math" panose="02040503050406030204" pitchFamily="18" charset="0"/>
                </a:rPr>
                <a:t>𝜀^</a:t>
              </a:r>
              <a:r>
                <a:rPr lang="en-GB" sz="1600" b="0" i="0">
                  <a:latin typeface="Cambria Math" panose="02040503050406030204" pitchFamily="18" charset="0"/>
                </a:rPr>
                <a:t>2 </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𝑧_4 </a:t>
              </a:r>
              <a:r>
                <a:rPr lang="en-US" sz="1600" b="0" i="0">
                  <a:latin typeface="Cambria Math" panose="02040503050406030204" pitchFamily="18" charset="0"/>
                </a:rPr>
                <a:t>)</a:t>
              </a:r>
              <a:r>
                <a:rPr lang="en-GB" sz="1600" b="0" i="0">
                  <a:latin typeface="Cambria Math" panose="02040503050406030204" pitchFamily="18" charset="0"/>
                </a:rPr>
                <a:t>)</a:t>
              </a:r>
              <a:r>
                <a:rPr lang="en-GB" sz="1600" b="0" i="0">
                  <a:latin typeface="Cambria Math" panose="02040503050406030204" pitchFamily="18" charset="0"/>
                  <a:ea typeface="Cambria Math" panose="02040503050406030204" pitchFamily="18" charset="0"/>
                </a:rPr>
                <a:t>×</a:t>
              </a:r>
              <a:r>
                <a:rPr lang="en-US" sz="1600" b="0" i="0">
                  <a:latin typeface="Cambria Math" panose="02040503050406030204" pitchFamily="18" charset="0"/>
                  <a:ea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𝑧_4</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ea typeface="Cambria Math" panose="02040503050406030204" pitchFamily="18" charset="0"/>
                </a:rPr>
                <a:t>𝜃</a:t>
              </a:r>
              <a:r>
                <a:rPr lang="en-US" sz="1600" b="0" i="0">
                  <a:latin typeface="Cambria Math" panose="02040503050406030204" pitchFamily="18" charset="0"/>
                  <a:ea typeface="Cambria Math" panose="02040503050406030204" pitchFamily="18" charset="0"/>
                </a:rPr>
                <a:t>_</a:t>
              </a:r>
              <a:r>
                <a:rPr lang="en-GB" sz="1600" b="0" i="0">
                  <a:latin typeface="Cambria Math" panose="02040503050406030204" pitchFamily="18" charset="0"/>
                </a:rPr>
                <a:t>4 </a:t>
              </a:r>
              <a:r>
                <a:rPr lang="en-US" sz="1600" b="0" i="0">
                  <a:latin typeface="Cambria Math" panose="02040503050406030204" pitchFamily="18" charset="0"/>
                </a:rPr>
                <a:t>)</a:t>
              </a:r>
              <a:r>
                <a:rPr lang="en-GB" sz="1600" b="0" i="0">
                  <a:latin typeface="Cambria Math" panose="02040503050406030204" pitchFamily="18" charset="0"/>
                </a:rPr>
                <a:t>]+</a:t>
              </a:r>
              <a:r>
                <a:rPr lang="en-GB" sz="1600" b="0" i="0">
                  <a:latin typeface="Cambria Math" panose="02040503050406030204" pitchFamily="18" charset="0"/>
                  <a:ea typeface="Cambria Math" panose="02040503050406030204" pitchFamily="18" charset="0"/>
                </a:rPr>
                <a:t>𝜆/</a:t>
              </a:r>
              <a:r>
                <a:rPr lang="en-GB" sz="1600" b="0" i="0">
                  <a:latin typeface="Cambria Math" panose="02040503050406030204" pitchFamily="18" charset="0"/>
                </a:rPr>
                <a:t>𝑚 </a:t>
              </a:r>
              <a:r>
                <a:rPr lang="en-GB" sz="1600" b="0" i="0">
                  <a:latin typeface="Cambria Math" panose="02040503050406030204" pitchFamily="18" charset="0"/>
                  <a:ea typeface="Cambria Math" panose="02040503050406030204" pitchFamily="18" charset="0"/>
                </a:rPr>
                <a:t>𝜃^[</a:t>
              </a:r>
              <a:r>
                <a:rPr lang="en-GB" sz="1600" b="0" i="0">
                  <a:latin typeface="Cambria Math" panose="02040503050406030204" pitchFamily="18" charset="0"/>
                </a:rPr>
                <a:t>𝑙] </a:t>
              </a:r>
              <a:endParaRPr lang="en-GB" sz="1600" b="0" i="1">
                <a:latin typeface="Cambria Math" panose="02040503050406030204" pitchFamily="18" charset="0"/>
              </a:endParaRPr>
            </a:p>
            <a:p>
              <a:pPr algn="l"/>
              <a:endParaRPr lang="en-GB" sz="1600" b="0" i="1">
                <a:latin typeface="Cambria Math" panose="02040503050406030204" pitchFamily="18" charset="0"/>
              </a:endParaRPr>
            </a:p>
            <a:p>
              <a:pPr algn="l"/>
              <a:r>
                <a:rPr lang="en-GB" sz="1600" b="0" i="0">
                  <a:latin typeface="Cambria Math" panose="02040503050406030204" pitchFamily="18" charset="0"/>
                </a:rPr>
                <a:t>=1</a:t>
              </a:r>
              <a:r>
                <a:rPr lang="en-US" sz="1600" b="0" i="0">
                  <a:latin typeface="Cambria Math" panose="02040503050406030204" pitchFamily="18" charset="0"/>
                </a:rPr>
                <a:t>/</a:t>
              </a:r>
              <a:r>
                <a:rPr lang="en-GB" sz="1600" b="0" i="0">
                  <a:latin typeface="Cambria Math" panose="02040503050406030204" pitchFamily="18" charset="0"/>
                </a:rPr>
                <a:t>𝑚</a:t>
              </a:r>
              <a:r>
                <a:rPr lang="en-US" sz="1600" b="0" i="0">
                  <a:latin typeface="Cambria Math" panose="02040503050406030204" pitchFamily="18" charset="0"/>
                  <a:ea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a:t>
              </a:r>
              <a:r>
                <a:rPr lang="en-US" sz="1600" b="0" i="0">
                  <a:latin typeface="Cambria Math" panose="02040503050406030204" pitchFamily="18" charset="0"/>
                </a:rPr>
                <a:t>(</a:t>
              </a:r>
              <a:r>
                <a:rPr lang="en-GB" sz="1600" b="0" i="0">
                  <a:latin typeface="Cambria Math" panose="02040503050406030204" pitchFamily="18" charset="0"/>
                </a:rPr>
                <a:t>𝑦−𝑎_4 )</a:t>
              </a:r>
              <a:r>
                <a:rPr lang="en-US" sz="1600" b="0" i="0">
                  <a:latin typeface="Cambria Math" panose="02040503050406030204" pitchFamily="18" charset="0"/>
                </a:rPr>
                <a:t>^</a:t>
              </a:r>
              <a:r>
                <a:rPr lang="en-GB" sz="1600" b="0" i="0">
                  <a:latin typeface="Cambria Math" panose="02040503050406030204" pitchFamily="18" charset="0"/>
                </a:rPr>
                <a:t>2 </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𝑎_4 </a:t>
              </a:r>
              <a:r>
                <a:rPr lang="en-US" sz="1600" b="0" i="0">
                  <a:latin typeface="Cambria Math" panose="02040503050406030204" pitchFamily="18" charset="0"/>
                </a:rPr>
                <a:t>)</a:t>
              </a:r>
              <a:r>
                <a:rPr lang="en-GB" sz="1600" b="0" i="0">
                  <a:latin typeface="Cambria Math" panose="02040503050406030204" pitchFamily="18" charset="0"/>
                  <a:ea typeface="Cambria Math" panose="02040503050406030204" pitchFamily="18" charset="0"/>
                </a:rPr>
                <a:t>×</a:t>
              </a:r>
              <a:r>
                <a:rPr lang="en-US" sz="1600" b="0" i="0">
                  <a:latin typeface="Cambria Math" panose="02040503050406030204" pitchFamily="18" charset="0"/>
                  <a:ea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𝑎_4</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ea typeface="Cambria Math" panose="02040503050406030204" pitchFamily="18" charset="0"/>
                </a:rPr>
                <a:t>𝑧</a:t>
              </a:r>
              <a:r>
                <a:rPr lang="en-US" sz="1600" b="0" i="0">
                  <a:latin typeface="Cambria Math" panose="02040503050406030204" pitchFamily="18" charset="0"/>
                  <a:ea typeface="Cambria Math" panose="02040503050406030204" pitchFamily="18" charset="0"/>
                </a:rPr>
                <a:t>_</a:t>
              </a:r>
              <a:r>
                <a:rPr lang="en-GB" sz="1600" b="0" i="0">
                  <a:latin typeface="Cambria Math" panose="02040503050406030204" pitchFamily="18" charset="0"/>
                </a:rPr>
                <a:t>4 </a:t>
              </a:r>
              <a:r>
                <a:rPr lang="en-US" sz="1600" b="0" i="0">
                  <a:latin typeface="Cambria Math" panose="02040503050406030204" pitchFamily="18" charset="0"/>
                </a:rPr>
                <a:t>)</a:t>
              </a:r>
              <a:r>
                <a:rPr lang="en-GB" sz="1600" b="0" i="0">
                  <a:latin typeface="Cambria Math" panose="02040503050406030204" pitchFamily="18" charset="0"/>
                </a:rPr>
                <a:t>)</a:t>
              </a:r>
              <a:r>
                <a:rPr lang="en-US" sz="160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rPr>
                <a:t>𝑎</a:t>
              </a:r>
              <a:r>
                <a:rPr lang="en-US" sz="1600" b="0" i="0">
                  <a:latin typeface="Cambria Math" panose="02040503050406030204" pitchFamily="18" charset="0"/>
                </a:rPr>
                <a:t>_</a:t>
              </a:r>
              <a:r>
                <a:rPr lang="en-GB" sz="1600" b="0" i="0">
                  <a:latin typeface="Cambria Math" panose="02040503050406030204" pitchFamily="18" charset="0"/>
                </a:rPr>
                <a:t>3 ]+</a:t>
              </a:r>
              <a:r>
                <a:rPr lang="en-GB" sz="1600" b="0" i="0">
                  <a:latin typeface="Cambria Math" panose="02040503050406030204" pitchFamily="18" charset="0"/>
                  <a:ea typeface="Cambria Math" panose="02040503050406030204" pitchFamily="18" charset="0"/>
                </a:rPr>
                <a:t>𝜆/</a:t>
              </a:r>
              <a:r>
                <a:rPr lang="en-GB" sz="1600" b="0" i="0">
                  <a:latin typeface="Cambria Math" panose="02040503050406030204" pitchFamily="18" charset="0"/>
                </a:rPr>
                <a:t>𝑚 </a:t>
              </a:r>
              <a:r>
                <a:rPr lang="en-GB" sz="1600" b="0" i="0">
                  <a:latin typeface="Cambria Math" panose="02040503050406030204" pitchFamily="18" charset="0"/>
                  <a:ea typeface="Cambria Math" panose="02040503050406030204" pitchFamily="18" charset="0"/>
                </a:rPr>
                <a:t>𝜃^[</a:t>
              </a:r>
              <a:r>
                <a:rPr lang="en-GB" sz="1600" b="0" i="0">
                  <a:latin typeface="Cambria Math" panose="02040503050406030204" pitchFamily="18" charset="0"/>
                </a:rPr>
                <a:t>𝑙] </a:t>
              </a:r>
              <a:endParaRPr lang="en-GB" sz="1600" b="0" i="1">
                <a:latin typeface="Cambria Math" panose="02040503050406030204" pitchFamily="18" charset="0"/>
              </a:endParaRPr>
            </a:p>
            <a:p>
              <a:pPr algn="l"/>
              <a:endParaRPr lang="en-GB" sz="1600" b="0" i="1">
                <a:latin typeface="Cambria Math" panose="02040503050406030204" pitchFamily="18" charset="0"/>
              </a:endParaRPr>
            </a:p>
            <a:p>
              <a:pPr algn="l"/>
              <a:r>
                <a:rPr lang="en-GB" sz="1600" b="0" i="0">
                  <a:latin typeface="Cambria Math" panose="02040503050406030204" pitchFamily="18" charset="0"/>
                </a:rPr>
                <a:t>=1</a:t>
              </a:r>
              <a:r>
                <a:rPr lang="en-US" sz="1600" b="0" i="0">
                  <a:latin typeface="Cambria Math" panose="02040503050406030204" pitchFamily="18" charset="0"/>
                </a:rPr>
                <a:t>/</a:t>
              </a:r>
              <a:r>
                <a:rPr lang="en-GB" sz="1600" b="0" i="0">
                  <a:latin typeface="Cambria Math" panose="02040503050406030204" pitchFamily="18" charset="0"/>
                </a:rPr>
                <a:t>𝑚</a:t>
              </a:r>
              <a:r>
                <a:rPr lang="en-US" sz="1600" b="0" i="0">
                  <a:latin typeface="Cambria Math" panose="02040503050406030204" pitchFamily="18" charset="0"/>
                  <a:ea typeface="Cambria Math" panose="02040503050406030204" pitchFamily="18" charset="0"/>
                </a:rPr>
                <a:t>×[([</a:t>
              </a:r>
              <a:r>
                <a:rPr lang="en-GB" sz="1600" i="0">
                  <a:latin typeface="Cambria Math" panose="02040503050406030204" pitchFamily="18" charset="0"/>
                </a:rPr>
                <a:t>2</a:t>
              </a:r>
              <a:r>
                <a:rPr lang="en-US" sz="1600" i="0">
                  <a:latin typeface="Cambria Math" panose="02040503050406030204" pitchFamily="18" charset="0"/>
                </a:rPr>
                <a:t>(</a:t>
              </a:r>
              <a:r>
                <a:rPr lang="en-GB" sz="1600" b="0" i="0">
                  <a:latin typeface="Cambria Math" panose="02040503050406030204" pitchFamily="18" charset="0"/>
                </a:rPr>
                <a:t>𝑦−𝑎_4 )</a:t>
              </a:r>
              <a:r>
                <a:rPr lang="en-US" sz="1600" b="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ea typeface="Cambria Math" panose="02040503050406030204" pitchFamily="18" charset="0"/>
                </a:rPr>
                <a:t>−1)]</a:t>
              </a:r>
              <a:r>
                <a:rPr lang="en-US" sz="1600" b="0" i="0">
                  <a:latin typeface="Cambria Math" panose="02040503050406030204" pitchFamily="18" charset="0"/>
                  <a:ea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𝑎_4</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a:t>
              </a:r>
              <a:r>
                <a:rPr lang="en-US" sz="1600" b="0" i="0">
                  <a:latin typeface="Cambria Math" panose="02040503050406030204" pitchFamily="18" charset="0"/>
                </a:rPr>
                <a:t>_</a:t>
              </a:r>
              <a:r>
                <a:rPr lang="en-GB" sz="1600" b="0" i="0">
                  <a:latin typeface="Cambria Math" panose="02040503050406030204" pitchFamily="18" charset="0"/>
                </a:rPr>
                <a:t>4 </a:t>
              </a:r>
              <a:r>
                <a:rPr lang="en-US" sz="1600" b="0" i="0">
                  <a:latin typeface="Cambria Math" panose="02040503050406030204" pitchFamily="18" charset="0"/>
                </a:rPr>
                <a:t>)</a:t>
              </a:r>
              <a:r>
                <a:rPr lang="en-GB" sz="1600" b="0" i="0">
                  <a:latin typeface="Cambria Math" panose="02040503050406030204" pitchFamily="18" charset="0"/>
                </a:rPr>
                <a:t>])</a:t>
              </a:r>
              <a:r>
                <a:rPr lang="en-US" sz="160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rPr>
                <a:t>𝑎</a:t>
              </a:r>
              <a:r>
                <a:rPr lang="en-US" sz="1600" b="0" i="0">
                  <a:latin typeface="Cambria Math" panose="02040503050406030204" pitchFamily="18" charset="0"/>
                </a:rPr>
                <a:t>_</a:t>
              </a:r>
              <a:r>
                <a:rPr lang="en-GB" sz="1600" b="0" i="0">
                  <a:latin typeface="Cambria Math" panose="02040503050406030204" pitchFamily="18" charset="0"/>
                </a:rPr>
                <a:t>3 ]+</a:t>
              </a:r>
              <a:r>
                <a:rPr lang="en-GB" sz="1600" b="0" i="0">
                  <a:latin typeface="Cambria Math" panose="02040503050406030204" pitchFamily="18" charset="0"/>
                  <a:ea typeface="Cambria Math" panose="02040503050406030204" pitchFamily="18" charset="0"/>
                </a:rPr>
                <a:t>𝜆/</a:t>
              </a:r>
              <a:r>
                <a:rPr lang="en-GB" sz="1600" b="0" i="0">
                  <a:latin typeface="Cambria Math" panose="02040503050406030204" pitchFamily="18" charset="0"/>
                </a:rPr>
                <a:t>𝑚 </a:t>
              </a:r>
              <a:r>
                <a:rPr lang="en-GB" sz="1600" b="0" i="0">
                  <a:latin typeface="Cambria Math" panose="02040503050406030204" pitchFamily="18" charset="0"/>
                  <a:ea typeface="Cambria Math" panose="02040503050406030204" pitchFamily="18" charset="0"/>
                </a:rPr>
                <a:t>𝜃^[</a:t>
              </a:r>
              <a:r>
                <a:rPr lang="en-GB" sz="1600" b="0" i="0">
                  <a:latin typeface="Cambria Math" panose="02040503050406030204" pitchFamily="18" charset="0"/>
                </a:rPr>
                <a:t>𝑙] </a:t>
              </a:r>
              <a:endParaRPr lang="en-GB" sz="1600" b="0" i="1">
                <a:latin typeface="Cambria Math" panose="02040503050406030204" pitchFamily="18" charset="0"/>
              </a:endParaRPr>
            </a:p>
            <a:p>
              <a:pPr algn="l"/>
              <a:endParaRPr lang="en-GB" sz="1600" b="0" i="1">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GB" sz="1600" b="0" i="0">
                  <a:latin typeface="Cambria Math" panose="02040503050406030204" pitchFamily="18" charset="0"/>
                </a:rPr>
                <a:t>=1</a:t>
              </a:r>
              <a:r>
                <a:rPr lang="en-US" sz="1600" b="0" i="0">
                  <a:latin typeface="Cambria Math" panose="02040503050406030204" pitchFamily="18" charset="0"/>
                </a:rPr>
                <a:t>/</a:t>
              </a:r>
              <a:r>
                <a:rPr lang="en-GB" sz="1600" b="0" i="0">
                  <a:latin typeface="Cambria Math" panose="02040503050406030204" pitchFamily="18" charset="0"/>
                </a:rPr>
                <a:t>𝑚 𝑑_4</a:t>
              </a:r>
              <a:r>
                <a:rPr lang="en-US" sz="160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rPr>
                <a:t>𝑎</a:t>
              </a:r>
              <a:r>
                <a:rPr lang="en-US" sz="1600" b="0" i="0">
                  <a:latin typeface="Cambria Math" panose="02040503050406030204" pitchFamily="18" charset="0"/>
                </a:rPr>
                <a:t>_</a:t>
              </a:r>
              <a:r>
                <a:rPr lang="en-GB" sz="1600" b="0" i="0">
                  <a:latin typeface="Cambria Math" panose="02040503050406030204" pitchFamily="18" charset="0"/>
                </a:rPr>
                <a:t>3+</a:t>
              </a:r>
              <a:r>
                <a:rPr lang="en-GB" sz="1600" b="0" i="0">
                  <a:latin typeface="Cambria Math" panose="02040503050406030204" pitchFamily="18" charset="0"/>
                  <a:ea typeface="Cambria Math" panose="02040503050406030204" pitchFamily="18" charset="0"/>
                </a:rPr>
                <a:t>𝜆/</a:t>
              </a:r>
              <a:r>
                <a:rPr lang="en-GB" sz="1600" b="0" i="0">
                  <a:latin typeface="Cambria Math" panose="02040503050406030204" pitchFamily="18" charset="0"/>
                </a:rPr>
                <a:t>𝑚 </a:t>
              </a:r>
              <a:r>
                <a:rPr lang="en-GB" sz="1600" b="0" i="0">
                  <a:latin typeface="Cambria Math" panose="02040503050406030204" pitchFamily="18" charset="0"/>
                  <a:ea typeface="Cambria Math" panose="02040503050406030204" pitchFamily="18" charset="0"/>
                </a:rPr>
                <a:t>𝜃^[</a:t>
              </a:r>
              <a:r>
                <a:rPr lang="en-GB" sz="1600" b="0" i="0">
                  <a:latin typeface="Cambria Math" panose="02040503050406030204" pitchFamily="18" charset="0"/>
                </a:rPr>
                <a:t>𝑙] </a:t>
              </a:r>
              <a:endParaRPr lang="en-GB" sz="1600" b="0"/>
            </a:p>
            <a:p>
              <a:pPr marL="0" marR="0" lvl="0" indent="0" algn="l" defTabSz="914400" eaLnBrk="1" fontAlgn="auto" latinLnBrk="0" hangingPunct="1">
                <a:lnSpc>
                  <a:spcPct val="100000"/>
                </a:lnSpc>
                <a:spcBef>
                  <a:spcPts val="0"/>
                </a:spcBef>
                <a:spcAft>
                  <a:spcPts val="0"/>
                </a:spcAft>
                <a:buClrTx/>
                <a:buSzTx/>
                <a:buFontTx/>
                <a:buNone/>
                <a:tabLst/>
                <a:defRPr/>
              </a:pPr>
              <a:endParaRPr lang="en-GB" sz="1600" b="0"/>
            </a:p>
            <a:p>
              <a:pPr marL="0" marR="0" lvl="0" indent="0" algn="l" defTabSz="914400" eaLnBrk="1" fontAlgn="auto" latinLnBrk="0" hangingPunct="1">
                <a:lnSpc>
                  <a:spcPct val="100000"/>
                </a:lnSpc>
                <a:spcBef>
                  <a:spcPts val="0"/>
                </a:spcBef>
                <a:spcAft>
                  <a:spcPts val="0"/>
                </a:spcAft>
                <a:buClrTx/>
                <a:buSzTx/>
                <a:buFontTx/>
                <a:buNone/>
                <a:tabLst/>
                <a:defRPr/>
              </a:pPr>
              <a:r>
                <a:rPr lang="en-GB" sz="1600" b="0" i="0">
                  <a:latin typeface="Cambria Math" panose="02040503050406030204" pitchFamily="18" charset="0"/>
                  <a:ea typeface="Cambria Math" panose="02040503050406030204" pitchFamily="18" charset="0"/>
                </a:rPr>
                <a:t>↔𝜃^[</a:t>
              </a:r>
              <a:r>
                <a:rPr lang="en-GB" sz="1600" b="0" i="0">
                  <a:latin typeface="Cambria Math" panose="02040503050406030204" pitchFamily="18" charset="0"/>
                </a:rPr>
                <a:t>𝑙] ≔</a:t>
              </a:r>
              <a:r>
                <a:rPr lang="en-GB" sz="1600" b="0" i="0">
                  <a:latin typeface="Cambria Math" panose="02040503050406030204" pitchFamily="18" charset="0"/>
                  <a:ea typeface="Cambria Math" panose="02040503050406030204" pitchFamily="18" charset="0"/>
                </a:rPr>
                <a:t>𝜃^[</a:t>
              </a:r>
              <a:r>
                <a:rPr lang="en-GB" sz="1600" b="0" i="0">
                  <a:latin typeface="Cambria Math" panose="02040503050406030204" pitchFamily="18" charset="0"/>
                </a:rPr>
                <a:t>𝑙] −</a:t>
              </a:r>
              <a:r>
                <a:rPr lang="en-GB" sz="1600" b="0" i="0">
                  <a:latin typeface="Cambria Math" panose="02040503050406030204" pitchFamily="18" charset="0"/>
                  <a:ea typeface="Cambria Math" panose="02040503050406030204" pitchFamily="18" charset="0"/>
                </a:rPr>
                <a:t>𝛼(</a:t>
              </a:r>
              <a:r>
                <a:rPr lang="en-US" sz="1600" i="0">
                  <a:latin typeface="Cambria Math" panose="02040503050406030204" pitchFamily="18" charset="0"/>
                  <a:ea typeface="Cambria Math" panose="02040503050406030204" pitchFamily="18" charset="0"/>
                </a:rPr>
                <a:t>𝜆/</a:t>
              </a:r>
              <a:r>
                <a:rPr lang="en-GB" sz="1600" b="0" i="0">
                  <a:latin typeface="Cambria Math" panose="02040503050406030204" pitchFamily="18" charset="0"/>
                </a:rPr>
                <a:t>𝑚 </a:t>
              </a:r>
              <a:r>
                <a:rPr lang="en-GB" sz="1600" b="0" i="0">
                  <a:latin typeface="Cambria Math" panose="02040503050406030204" pitchFamily="18" charset="0"/>
                  <a:ea typeface="Cambria Math" panose="02040503050406030204" pitchFamily="18" charset="0"/>
                </a:rPr>
                <a:t>𝜃^[</a:t>
              </a:r>
              <a:r>
                <a:rPr lang="en-GB" sz="1600" b="0" i="0">
                  <a:latin typeface="Cambria Math" panose="02040503050406030204" pitchFamily="18" charset="0"/>
                </a:rPr>
                <a:t>𝑙]  )−</a:t>
              </a:r>
              <a:r>
                <a:rPr lang="en-GB" sz="1600" b="0" i="0">
                  <a:latin typeface="Cambria Math" panose="02040503050406030204" pitchFamily="18" charset="0"/>
                  <a:ea typeface="Cambria Math" panose="02040503050406030204" pitchFamily="18" charset="0"/>
                </a:rPr>
                <a:t>𝛼(</a:t>
              </a:r>
              <a:r>
                <a:rPr lang="en-GB" sz="1600" b="0" i="0">
                  <a:latin typeface="Cambria Math" panose="02040503050406030204" pitchFamily="18" charset="0"/>
                </a:rPr>
                <a:t>1</a:t>
              </a:r>
              <a:r>
                <a:rPr lang="en-US" sz="1600" b="0" i="0">
                  <a:latin typeface="Cambria Math" panose="02040503050406030204" pitchFamily="18" charset="0"/>
                </a:rPr>
                <a:t>/</a:t>
              </a:r>
              <a:r>
                <a:rPr lang="en-GB" sz="1600" b="0" i="0">
                  <a:latin typeface="Cambria Math" panose="02040503050406030204" pitchFamily="18" charset="0"/>
                </a:rPr>
                <a:t>𝑚 𝑑_𝑙</a:t>
              </a:r>
              <a:r>
                <a:rPr lang="en-US" sz="160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rPr>
                <a:t>𝑎</a:t>
              </a:r>
              <a:r>
                <a:rPr lang="en-US" sz="1600" b="0" i="0">
                  <a:latin typeface="Cambria Math" panose="02040503050406030204" pitchFamily="18" charset="0"/>
                </a:rPr>
                <a:t>_(</a:t>
              </a:r>
              <a:r>
                <a:rPr lang="en-GB" sz="1600" b="0" i="0">
                  <a:latin typeface="Cambria Math" panose="02040503050406030204" pitchFamily="18" charset="0"/>
                </a:rPr>
                <a:t>𝑙−1</a:t>
              </a:r>
              <a:r>
                <a:rPr lang="en-US" sz="1600" b="0" i="0">
                  <a:latin typeface="Cambria Math" panose="02040503050406030204" pitchFamily="18" charset="0"/>
                </a:rPr>
                <a:t>)</a:t>
              </a:r>
              <a:r>
                <a:rPr lang="en-GB" sz="1600" b="0" i="0">
                  <a:latin typeface="Cambria Math" panose="02040503050406030204" pitchFamily="18" charset="0"/>
                </a:rPr>
                <a:t> )</a:t>
              </a:r>
              <a:endParaRPr lang="en-GB" sz="1600" b="0"/>
            </a:p>
            <a:p>
              <a:pPr marL="0" marR="0" lvl="0" indent="0" algn="l" defTabSz="914400" eaLnBrk="1" fontAlgn="auto" latinLnBrk="0" hangingPunct="1">
                <a:lnSpc>
                  <a:spcPct val="100000"/>
                </a:lnSpc>
                <a:spcBef>
                  <a:spcPts val="0"/>
                </a:spcBef>
                <a:spcAft>
                  <a:spcPts val="0"/>
                </a:spcAft>
                <a:buClrTx/>
                <a:buSzTx/>
                <a:buFontTx/>
                <a:buNone/>
                <a:tabLst/>
                <a:defRPr/>
              </a:pPr>
              <a:endParaRPr lang="en-GB" sz="1600" b="0"/>
            </a:p>
          </xdr:txBody>
        </xdr:sp>
      </mc:Fallback>
    </mc:AlternateContent>
    <xdr:clientData/>
  </xdr:oneCellAnchor>
  <xdr:oneCellAnchor>
    <xdr:from>
      <xdr:col>59</xdr:col>
      <xdr:colOff>139078</xdr:colOff>
      <xdr:row>37</xdr:row>
      <xdr:rowOff>157918</xdr:rowOff>
    </xdr:from>
    <xdr:ext cx="5244124" cy="1989199"/>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7999148" y="7920016"/>
              <a:ext cx="5244124" cy="19891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14:m>
                <m:oMathPara xmlns:m="http://schemas.openxmlformats.org/officeDocument/2006/math">
                  <m:oMathParaPr>
                    <m:jc m:val="left"/>
                  </m:oMathParaPr>
                  <m:oMath xmlns:m="http://schemas.openxmlformats.org/officeDocument/2006/math">
                    <m:f>
                      <m:fPr>
                        <m:ctrlPr>
                          <a:rPr lang="en-US" sz="1600" i="1">
                            <a:latin typeface="Cambria Math" panose="02040503050406030204" pitchFamily="18" charset="0"/>
                          </a:rPr>
                        </m:ctrlPr>
                      </m:fPr>
                      <m:num>
                        <m:r>
                          <a:rPr lang="en-US" sz="1600" i="1">
                            <a:latin typeface="Cambria Math" panose="02040503050406030204" pitchFamily="18" charset="0"/>
                          </a:rPr>
                          <m:t>𝜕</m:t>
                        </m:r>
                        <m:r>
                          <a:rPr lang="en-GB" sz="1600" b="0" i="1">
                            <a:latin typeface="Cambria Math" panose="02040503050406030204" pitchFamily="18" charset="0"/>
                          </a:rPr>
                          <m:t>𝑀𝑆𝐸</m:t>
                        </m:r>
                      </m:num>
                      <m:den>
                        <m:r>
                          <a:rPr lang="en-US" sz="1600" i="1">
                            <a:latin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ea typeface="Cambria Math" panose="02040503050406030204" pitchFamily="18" charset="0"/>
                              </a:rPr>
                              <m:t>𝜃</m:t>
                            </m:r>
                          </m:e>
                          <m:sub>
                            <m:r>
                              <a:rPr lang="en-GB" sz="1600" b="0" i="1">
                                <a:latin typeface="Cambria Math" panose="02040503050406030204" pitchFamily="18" charset="0"/>
                                <a:ea typeface="Cambria Math" panose="02040503050406030204" pitchFamily="18" charset="0"/>
                              </a:rPr>
                              <m:t>2</m:t>
                            </m:r>
                          </m:sub>
                        </m:sSub>
                      </m:den>
                    </m:f>
                    <m:r>
                      <a:rPr lang="en-GB" sz="1600" b="0" i="1">
                        <a:latin typeface="Cambria Math" panose="02040503050406030204" pitchFamily="18" charset="0"/>
                      </a:rPr>
                      <m:t>=</m:t>
                    </m:r>
                    <m:f>
                      <m:fPr>
                        <m:ctrlPr>
                          <a:rPr lang="en-US" sz="1600" i="1">
                            <a:latin typeface="Cambria Math" panose="02040503050406030204" pitchFamily="18" charset="0"/>
                          </a:rPr>
                        </m:ctrlPr>
                      </m:fPr>
                      <m:num>
                        <m:r>
                          <a:rPr lang="en-GB" sz="1600" b="0" i="1">
                            <a:latin typeface="Cambria Math" panose="02040503050406030204" pitchFamily="18" charset="0"/>
                          </a:rPr>
                          <m:t>1</m:t>
                        </m:r>
                      </m:num>
                      <m:den>
                        <m:r>
                          <a:rPr lang="en-GB" sz="1600" b="0" i="1">
                            <a:latin typeface="Cambria Math" panose="02040503050406030204" pitchFamily="18" charset="0"/>
                          </a:rPr>
                          <m:t>𝑚</m:t>
                        </m:r>
                      </m:den>
                    </m:f>
                    <m:r>
                      <a:rPr lang="en-US" sz="1600" b="0" i="1">
                        <a:latin typeface="Cambria Math" panose="02040503050406030204" pitchFamily="18" charset="0"/>
                        <a:ea typeface="Cambria Math" panose="02040503050406030204" pitchFamily="18" charset="0"/>
                      </a:rPr>
                      <m:t>×</m:t>
                    </m:r>
                    <m:f>
                      <m:fPr>
                        <m:ctrlPr>
                          <a:rPr lang="en-US" sz="1600" i="1">
                            <a:latin typeface="Cambria Math" panose="02040503050406030204" pitchFamily="18" charset="0"/>
                          </a:rPr>
                        </m:ctrlPr>
                      </m:fPr>
                      <m:num>
                        <m:r>
                          <a:rPr lang="en-US" sz="1600" i="1">
                            <a:latin typeface="Cambria Math" panose="02040503050406030204" pitchFamily="18" charset="0"/>
                          </a:rPr>
                          <m:t>𝜕</m:t>
                        </m:r>
                        <m:nary>
                          <m:naryPr>
                            <m:chr m:val="∑"/>
                            <m:subHide m:val="on"/>
                            <m:supHide m:val="on"/>
                            <m:ctrlPr>
                              <a:rPr lang="en-US" sz="1600" i="1">
                                <a:latin typeface="Cambria Math" panose="02040503050406030204" pitchFamily="18" charset="0"/>
                              </a:rPr>
                            </m:ctrlPr>
                          </m:naryPr>
                          <m:sub/>
                          <m:sup/>
                          <m:e>
                            <m:sSup>
                              <m:sSupPr>
                                <m:ctrlPr>
                                  <a:rPr lang="en-US" sz="1600" i="1">
                                    <a:latin typeface="Cambria Math" panose="02040503050406030204" pitchFamily="18" charset="0"/>
                                  </a:rPr>
                                </m:ctrlPr>
                              </m:sSupPr>
                              <m:e>
                                <m:r>
                                  <a:rPr lang="en-US" sz="1600" i="1">
                                    <a:latin typeface="Cambria Math" panose="02040503050406030204" pitchFamily="18" charset="0"/>
                                  </a:rPr>
                                  <m:t>𝜀</m:t>
                                </m:r>
                              </m:e>
                              <m:sup>
                                <m:r>
                                  <a:rPr lang="en-GB" sz="1600" b="0" i="1">
                                    <a:latin typeface="Cambria Math" panose="02040503050406030204" pitchFamily="18" charset="0"/>
                                  </a:rPr>
                                  <m:t>2</m:t>
                                </m:r>
                              </m:sup>
                            </m:sSup>
                          </m:e>
                        </m:nary>
                      </m:num>
                      <m:den>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4</m:t>
                            </m:r>
                          </m:sub>
                        </m:sSub>
                      </m:den>
                    </m:f>
                    <m:r>
                      <a:rPr lang="en-US" sz="1600" b="0" i="1">
                        <a:latin typeface="Cambria Math" panose="02040503050406030204" pitchFamily="18" charset="0"/>
                        <a:ea typeface="Cambria Math" panose="02040503050406030204" pitchFamily="18" charset="0"/>
                      </a:rPr>
                      <m:t>×</m:t>
                    </m:r>
                    <m:f>
                      <m:fPr>
                        <m:ctrlPr>
                          <a:rPr lang="en-US" sz="1600" i="1">
                            <a:latin typeface="Cambria Math" panose="02040503050406030204" pitchFamily="18" charset="0"/>
                          </a:rPr>
                        </m:ctrlPr>
                      </m:fPr>
                      <m:num>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4</m:t>
                            </m:r>
                          </m:sub>
                        </m:sSub>
                      </m:num>
                      <m:den>
                        <m:r>
                          <a:rPr lang="en-US" sz="1600" i="1">
                            <a:latin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3</m:t>
                            </m:r>
                          </m:sub>
                        </m:sSub>
                      </m:den>
                    </m:f>
                    <m:r>
                      <a:rPr lang="en-US" sz="1600" i="1">
                        <a:latin typeface="Cambria Math" panose="02040503050406030204" pitchFamily="18" charset="0"/>
                        <a:ea typeface="Cambria Math" panose="02040503050406030204" pitchFamily="18" charset="0"/>
                      </a:rPr>
                      <m:t>×</m:t>
                    </m:r>
                    <m:f>
                      <m:fPr>
                        <m:ctrlPr>
                          <a:rPr lang="en-US" sz="1600" i="1">
                            <a:latin typeface="Cambria Math" panose="02040503050406030204" pitchFamily="18" charset="0"/>
                          </a:rPr>
                        </m:ctrlPr>
                      </m:fPr>
                      <m:num>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3</m:t>
                            </m:r>
                          </m:sub>
                        </m:sSub>
                      </m:num>
                      <m:den>
                        <m:r>
                          <a:rPr lang="en-US" sz="1600" i="1">
                            <a:latin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3</m:t>
                            </m:r>
                          </m:sub>
                        </m:sSub>
                      </m:den>
                    </m:f>
                    <m:r>
                      <a:rPr lang="en-US" sz="1600" i="1">
                        <a:latin typeface="Cambria Math" panose="02040503050406030204" pitchFamily="18" charset="0"/>
                        <a:ea typeface="Cambria Math" panose="02040503050406030204" pitchFamily="18" charset="0"/>
                      </a:rPr>
                      <m:t>×</m:t>
                    </m:r>
                    <m:f>
                      <m:fPr>
                        <m:ctrlPr>
                          <a:rPr lang="en-US" sz="1600" i="1">
                            <a:latin typeface="Cambria Math" panose="02040503050406030204" pitchFamily="18" charset="0"/>
                          </a:rPr>
                        </m:ctrlPr>
                      </m:fPr>
                      <m:num>
                        <m:r>
                          <a:rPr lang="en-US" sz="1600" i="1">
                            <a:latin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3</m:t>
                            </m:r>
                          </m:sub>
                        </m:sSub>
                      </m:num>
                      <m:den>
                        <m:r>
                          <a:rPr lang="en-US" sz="1600" i="1">
                            <a:latin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ea typeface="Cambria Math" panose="02040503050406030204" pitchFamily="18" charset="0"/>
                              </a:rPr>
                              <m:t>𝜃</m:t>
                            </m:r>
                          </m:e>
                          <m:sub>
                            <m:r>
                              <a:rPr lang="en-GB" sz="1600" b="0" i="1">
                                <a:latin typeface="Cambria Math" panose="02040503050406030204" pitchFamily="18" charset="0"/>
                              </a:rPr>
                              <m:t>2</m:t>
                            </m:r>
                          </m:sub>
                        </m:sSub>
                      </m:den>
                    </m:f>
                  </m:oMath>
                </m:oMathPara>
              </a14:m>
              <a:endParaRPr lang="en-GB" sz="1600" b="0" i="1">
                <a:latin typeface="Cambria Math" panose="02040503050406030204" pitchFamily="18" charset="0"/>
              </a:endParaRPr>
            </a:p>
            <a:p>
              <a:pPr algn="l"/>
              <a:endParaRPr lang="en-GB" sz="1600" b="0" i="1">
                <a:latin typeface="Cambria Math" panose="02040503050406030204" pitchFamily="18" charset="0"/>
              </a:endParaRPr>
            </a:p>
            <a:p>
              <a:pPr algn="l"/>
              <a14:m>
                <m:oMathPara xmlns:m="http://schemas.openxmlformats.org/officeDocument/2006/math">
                  <m:oMathParaPr>
                    <m:jc m:val="left"/>
                  </m:oMathParaPr>
                  <m:oMath xmlns:m="http://schemas.openxmlformats.org/officeDocument/2006/math">
                    <m:r>
                      <a:rPr lang="en-GB" sz="1600" b="0" i="1">
                        <a:latin typeface="Cambria Math" panose="02040503050406030204" pitchFamily="18" charset="0"/>
                      </a:rPr>
                      <m:t>=</m:t>
                    </m:r>
                    <m:f>
                      <m:fPr>
                        <m:ctrlPr>
                          <a:rPr lang="en-US" sz="1600" i="1">
                            <a:latin typeface="Cambria Math" panose="02040503050406030204" pitchFamily="18" charset="0"/>
                          </a:rPr>
                        </m:ctrlPr>
                      </m:fPr>
                      <m:num>
                        <m:r>
                          <a:rPr lang="en-GB" sz="1600" b="0" i="1">
                            <a:latin typeface="Cambria Math" panose="02040503050406030204" pitchFamily="18" charset="0"/>
                          </a:rPr>
                          <m:t>1</m:t>
                        </m:r>
                      </m:num>
                      <m:den>
                        <m:r>
                          <a:rPr lang="en-GB" sz="1600" b="0" i="1">
                            <a:latin typeface="Cambria Math" panose="02040503050406030204" pitchFamily="18" charset="0"/>
                          </a:rPr>
                          <m:t>𝑚</m:t>
                        </m:r>
                      </m:den>
                    </m:f>
                    <m:r>
                      <a:rPr lang="en-US" sz="1600" b="0" i="1">
                        <a:latin typeface="Cambria Math" panose="02040503050406030204" pitchFamily="18" charset="0"/>
                        <a:ea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𝑑</m:t>
                        </m:r>
                      </m:e>
                      <m:sub>
                        <m:r>
                          <a:rPr lang="en-GB" sz="1600" b="0" i="1">
                            <a:latin typeface="Cambria Math" panose="02040503050406030204" pitchFamily="18" charset="0"/>
                          </a:rPr>
                          <m:t>4</m:t>
                        </m:r>
                      </m:sub>
                    </m:sSub>
                    <m:r>
                      <a:rPr lang="en-US" sz="1600" b="0" i="1">
                        <a:latin typeface="Cambria Math" panose="02040503050406030204" pitchFamily="18" charset="0"/>
                        <a:ea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ea typeface="Cambria Math" panose="02040503050406030204" pitchFamily="18" charset="0"/>
                          </a:rPr>
                          <m:t>𝜃</m:t>
                        </m:r>
                      </m:e>
                      <m:sub>
                        <m:r>
                          <a:rPr lang="en-GB" sz="1600" b="0" i="1">
                            <a:latin typeface="Cambria Math" panose="02040503050406030204" pitchFamily="18" charset="0"/>
                          </a:rPr>
                          <m:t>3</m:t>
                        </m:r>
                      </m:sub>
                    </m:sSub>
                    <m:r>
                      <a:rPr lang="en-GB" sz="1600" b="0" i="1">
                        <a:latin typeface="Cambria Math" panose="02040503050406030204" pitchFamily="18" charset="0"/>
                        <a:ea typeface="Cambria Math" panose="02040503050406030204" pitchFamily="18" charset="0"/>
                      </a:rPr>
                      <m:t>×</m:t>
                    </m:r>
                    <m:f>
                      <m:fPr>
                        <m:ctrlPr>
                          <a:rPr lang="en-US" sz="1600" i="1">
                            <a:latin typeface="Cambria Math" panose="02040503050406030204" pitchFamily="18" charset="0"/>
                          </a:rPr>
                        </m:ctrlPr>
                      </m:fPr>
                      <m:num>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3</m:t>
                            </m:r>
                          </m:sub>
                        </m:sSub>
                      </m:num>
                      <m:den>
                        <m:r>
                          <a:rPr lang="en-US" sz="1600" i="1">
                            <a:latin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3</m:t>
                            </m:r>
                          </m:sub>
                        </m:sSub>
                      </m:den>
                    </m:f>
                    <m:r>
                      <a:rPr lang="en-US" sz="1600" i="1">
                        <a:latin typeface="Cambria Math" panose="02040503050406030204" pitchFamily="18" charset="0"/>
                        <a:ea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2</m:t>
                        </m:r>
                      </m:sub>
                    </m:sSub>
                  </m:oMath>
                </m:oMathPara>
              </a14:m>
              <a:endParaRPr lang="en-GB" sz="1600" b="0" i="1">
                <a:latin typeface="Cambria Math" panose="02040503050406030204" pitchFamily="18" charset="0"/>
              </a:endParaRPr>
            </a:p>
            <a:p>
              <a:pPr algn="l"/>
              <a:endParaRPr lang="en-GB" sz="1600" b="0" i="1">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r>
                      <a:rPr lang="en-GB" sz="1600" b="0" i="1">
                        <a:latin typeface="Cambria Math" panose="02040503050406030204" pitchFamily="18" charset="0"/>
                      </a:rPr>
                      <m:t>=</m:t>
                    </m:r>
                    <m:f>
                      <m:fPr>
                        <m:ctrlPr>
                          <a:rPr lang="en-US" sz="1600" i="1">
                            <a:latin typeface="Cambria Math" panose="02040503050406030204" pitchFamily="18" charset="0"/>
                          </a:rPr>
                        </m:ctrlPr>
                      </m:fPr>
                      <m:num>
                        <m:r>
                          <a:rPr lang="en-GB" sz="1600" b="0" i="1">
                            <a:latin typeface="Cambria Math" panose="02040503050406030204" pitchFamily="18" charset="0"/>
                          </a:rPr>
                          <m:t>1</m:t>
                        </m:r>
                      </m:num>
                      <m:den>
                        <m:r>
                          <a:rPr lang="en-GB" sz="1600" b="0" i="1">
                            <a:latin typeface="Cambria Math" panose="02040503050406030204" pitchFamily="18" charset="0"/>
                          </a:rPr>
                          <m:t>𝑚</m:t>
                        </m:r>
                      </m:den>
                    </m:f>
                    <m:sSub>
                      <m:sSubPr>
                        <m:ctrlPr>
                          <a:rPr lang="en-GB" sz="1600" b="0" i="1">
                            <a:latin typeface="Cambria Math" panose="02040503050406030204" pitchFamily="18" charset="0"/>
                          </a:rPr>
                        </m:ctrlPr>
                      </m:sSubPr>
                      <m:e>
                        <m:r>
                          <a:rPr lang="en-GB" sz="1600" b="0" i="1">
                            <a:latin typeface="Cambria Math" panose="02040503050406030204" pitchFamily="18" charset="0"/>
                          </a:rPr>
                          <m:t>𝑑</m:t>
                        </m:r>
                      </m:e>
                      <m:sub>
                        <m:r>
                          <a:rPr lang="en-GB" sz="1600" b="0" i="1">
                            <a:latin typeface="Cambria Math" panose="02040503050406030204" pitchFamily="18" charset="0"/>
                          </a:rPr>
                          <m:t>3</m:t>
                        </m:r>
                      </m:sub>
                    </m:sSub>
                    <m:r>
                      <a:rPr lang="en-US" sz="1600" i="1">
                        <a:latin typeface="Cambria Math" panose="02040503050406030204" pitchFamily="18" charset="0"/>
                        <a:ea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2</m:t>
                        </m:r>
                      </m:sub>
                    </m:sSub>
                  </m:oMath>
                </m:oMathPara>
              </a14:m>
              <a:endParaRPr lang="en-US" sz="1600"/>
            </a:p>
          </xdr:txBody>
        </xdr:sp>
      </mc:Choice>
      <mc:Fallback xmlns="">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7999148" y="7920016"/>
              <a:ext cx="5244124" cy="19891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r>
                <a:rPr lang="en-US" sz="1600" i="0">
                  <a:latin typeface="Cambria Math" panose="02040503050406030204" pitchFamily="18" charset="0"/>
                </a:rPr>
                <a:t>𝜕</a:t>
              </a:r>
              <a:r>
                <a:rPr lang="en-GB" sz="1600" b="0" i="0">
                  <a:latin typeface="Cambria Math" panose="02040503050406030204" pitchFamily="18" charset="0"/>
                </a:rPr>
                <a:t>𝑀𝑆𝐸</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ea typeface="Cambria Math" panose="02040503050406030204" pitchFamily="18" charset="0"/>
                </a:rPr>
                <a:t>𝜃</a:t>
              </a:r>
              <a:r>
                <a:rPr lang="en-US" sz="1600" b="0" i="0">
                  <a:latin typeface="Cambria Math" panose="02040503050406030204" pitchFamily="18" charset="0"/>
                  <a:ea typeface="Cambria Math" panose="02040503050406030204" pitchFamily="18" charset="0"/>
                </a:rPr>
                <a:t>_</a:t>
              </a:r>
              <a:r>
                <a:rPr lang="en-GB" sz="1600" b="0" i="0">
                  <a:latin typeface="Cambria Math" panose="02040503050406030204" pitchFamily="18" charset="0"/>
                  <a:ea typeface="Cambria Math" panose="02040503050406030204" pitchFamily="18" charset="0"/>
                </a:rPr>
                <a:t>2 </a:t>
              </a:r>
              <a:r>
                <a:rPr lang="en-US" sz="1600" b="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rPr>
                <a:t>=1</a:t>
              </a:r>
              <a:r>
                <a:rPr lang="en-US" sz="1600" b="0" i="0">
                  <a:latin typeface="Cambria Math" panose="02040503050406030204" pitchFamily="18" charset="0"/>
                </a:rPr>
                <a:t>/</a:t>
              </a:r>
              <a:r>
                <a:rPr lang="en-GB" sz="1600" b="0" i="0">
                  <a:latin typeface="Cambria Math" panose="02040503050406030204" pitchFamily="18" charset="0"/>
                </a:rPr>
                <a:t>𝑚</a:t>
              </a:r>
              <a:r>
                <a:rPr lang="en-US" sz="1600" b="0" i="0">
                  <a:latin typeface="Cambria Math" panose="02040503050406030204" pitchFamily="18" charset="0"/>
                  <a:ea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a:t>
              </a:r>
              <a:r>
                <a:rPr lang="en-US" sz="1600" i="0">
                  <a:latin typeface="Cambria Math" panose="02040503050406030204" pitchFamily="18" charset="0"/>
                </a:rPr>
                <a:t>𝜀^</a:t>
              </a:r>
              <a:r>
                <a:rPr lang="en-GB" sz="1600" b="0" i="0">
                  <a:latin typeface="Cambria Math" panose="02040503050406030204" pitchFamily="18" charset="0"/>
                </a:rPr>
                <a:t>2 </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𝑧_4 </a:t>
              </a:r>
              <a:r>
                <a:rPr lang="en-US" sz="1600" b="0" i="0">
                  <a:latin typeface="Cambria Math" panose="02040503050406030204" pitchFamily="18" charset="0"/>
                </a:rPr>
                <a:t>)</a:t>
              </a:r>
              <a:r>
                <a:rPr lang="en-US" sz="1600" b="0" i="0">
                  <a:latin typeface="Cambria Math" panose="02040503050406030204" pitchFamily="18" charset="0"/>
                  <a:ea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𝑧_4</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𝑎</a:t>
              </a:r>
              <a:r>
                <a:rPr lang="en-US" sz="1600" b="0" i="0">
                  <a:latin typeface="Cambria Math" panose="02040503050406030204" pitchFamily="18" charset="0"/>
                </a:rPr>
                <a:t>_</a:t>
              </a:r>
              <a:r>
                <a:rPr lang="en-GB" sz="1600" b="0" i="0">
                  <a:latin typeface="Cambria Math" panose="02040503050406030204" pitchFamily="18" charset="0"/>
                </a:rPr>
                <a:t>3 </a:t>
              </a:r>
              <a:r>
                <a:rPr lang="en-US" sz="1600" b="0" i="0">
                  <a:latin typeface="Cambria Math" panose="02040503050406030204" pitchFamily="18" charset="0"/>
                </a:rPr>
                <a:t>)</a:t>
              </a:r>
              <a:r>
                <a:rPr lang="en-US" sz="1600" i="0">
                  <a:latin typeface="Cambria Math" panose="02040503050406030204" pitchFamily="18" charset="0"/>
                  <a:ea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𝑎_3</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a:t>
              </a:r>
              <a:r>
                <a:rPr lang="en-US" sz="1600" b="0" i="0">
                  <a:latin typeface="Cambria Math" panose="02040503050406030204" pitchFamily="18" charset="0"/>
                </a:rPr>
                <a:t>_</a:t>
              </a:r>
              <a:r>
                <a:rPr lang="en-GB" sz="1600" b="0" i="0">
                  <a:latin typeface="Cambria Math" panose="02040503050406030204" pitchFamily="18" charset="0"/>
                </a:rPr>
                <a:t>3 </a:t>
              </a:r>
              <a:r>
                <a:rPr lang="en-US" sz="1600" b="0" i="0">
                  <a:latin typeface="Cambria Math" panose="02040503050406030204" pitchFamily="18" charset="0"/>
                </a:rPr>
                <a:t>)</a:t>
              </a:r>
              <a:r>
                <a:rPr lang="en-US" sz="1600" i="0">
                  <a:latin typeface="Cambria Math" panose="02040503050406030204" pitchFamily="18" charset="0"/>
                  <a:ea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a:t>
              </a:r>
              <a:r>
                <a:rPr lang="en-US" sz="1600" b="0" i="0">
                  <a:latin typeface="Cambria Math" panose="02040503050406030204" pitchFamily="18" charset="0"/>
                </a:rPr>
                <a:t>_</a:t>
              </a:r>
              <a:r>
                <a:rPr lang="en-GB" sz="1600" b="0" i="0">
                  <a:latin typeface="Cambria Math" panose="02040503050406030204" pitchFamily="18" charset="0"/>
                </a:rPr>
                <a:t>3</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ea typeface="Cambria Math" panose="02040503050406030204" pitchFamily="18" charset="0"/>
                </a:rPr>
                <a:t>𝜃</a:t>
              </a:r>
              <a:r>
                <a:rPr lang="en-US" sz="1600" b="0" i="0">
                  <a:latin typeface="Cambria Math" panose="02040503050406030204" pitchFamily="18" charset="0"/>
                  <a:ea typeface="Cambria Math" panose="02040503050406030204" pitchFamily="18" charset="0"/>
                </a:rPr>
                <a:t>_</a:t>
              </a:r>
              <a:r>
                <a:rPr lang="en-GB" sz="1600" b="0" i="0">
                  <a:latin typeface="Cambria Math" panose="02040503050406030204" pitchFamily="18" charset="0"/>
                </a:rPr>
                <a:t>2 </a:t>
              </a:r>
              <a:r>
                <a:rPr lang="en-US" sz="1600" b="0" i="0">
                  <a:latin typeface="Cambria Math" panose="02040503050406030204" pitchFamily="18" charset="0"/>
                </a:rPr>
                <a:t>)</a:t>
              </a:r>
              <a:endParaRPr lang="en-GB" sz="1600" b="0" i="1">
                <a:latin typeface="Cambria Math" panose="02040503050406030204" pitchFamily="18" charset="0"/>
              </a:endParaRPr>
            </a:p>
            <a:p>
              <a:pPr algn="l"/>
              <a:endParaRPr lang="en-GB" sz="1600" b="0" i="1">
                <a:latin typeface="Cambria Math" panose="02040503050406030204" pitchFamily="18" charset="0"/>
              </a:endParaRPr>
            </a:p>
            <a:p>
              <a:pPr algn="l"/>
              <a:r>
                <a:rPr lang="en-GB" sz="1600" b="0" i="0">
                  <a:latin typeface="Cambria Math" panose="02040503050406030204" pitchFamily="18" charset="0"/>
                </a:rPr>
                <a:t>=1</a:t>
              </a:r>
              <a:r>
                <a:rPr lang="en-US" sz="1600" b="0" i="0">
                  <a:latin typeface="Cambria Math" panose="02040503050406030204" pitchFamily="18" charset="0"/>
                </a:rPr>
                <a:t>/</a:t>
              </a:r>
              <a:r>
                <a:rPr lang="en-GB" sz="1600" b="0" i="0">
                  <a:latin typeface="Cambria Math" panose="02040503050406030204" pitchFamily="18" charset="0"/>
                </a:rPr>
                <a:t>𝑚</a:t>
              </a:r>
              <a:r>
                <a:rPr lang="en-US" sz="1600" b="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rPr>
                <a:t>𝑑_4</a:t>
              </a:r>
              <a:r>
                <a:rPr lang="en-US" sz="1600" b="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ea typeface="Cambria Math" panose="02040503050406030204" pitchFamily="18" charset="0"/>
                </a:rPr>
                <a:t>𝜃</a:t>
              </a:r>
              <a:r>
                <a:rPr lang="en-US" sz="1600" b="0" i="0">
                  <a:latin typeface="Cambria Math" panose="02040503050406030204" pitchFamily="18" charset="0"/>
                  <a:ea typeface="Cambria Math" panose="02040503050406030204" pitchFamily="18" charset="0"/>
                </a:rPr>
                <a:t>_</a:t>
              </a:r>
              <a:r>
                <a:rPr lang="en-GB" sz="1600" b="0" i="0">
                  <a:latin typeface="Cambria Math" panose="02040503050406030204" pitchFamily="18" charset="0"/>
                </a:rPr>
                <a:t>3</a:t>
              </a:r>
              <a:r>
                <a:rPr lang="en-GB" sz="1600" b="0" i="0">
                  <a:latin typeface="Cambria Math" panose="02040503050406030204" pitchFamily="18" charset="0"/>
                  <a:ea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𝑎_3</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a:t>
              </a:r>
              <a:r>
                <a:rPr lang="en-US" sz="1600" b="0" i="0">
                  <a:latin typeface="Cambria Math" panose="02040503050406030204" pitchFamily="18" charset="0"/>
                </a:rPr>
                <a:t>_</a:t>
              </a:r>
              <a:r>
                <a:rPr lang="en-GB" sz="1600" b="0" i="0">
                  <a:latin typeface="Cambria Math" panose="02040503050406030204" pitchFamily="18" charset="0"/>
                </a:rPr>
                <a:t>3 </a:t>
              </a:r>
              <a:r>
                <a:rPr lang="en-US" sz="1600" b="0" i="0">
                  <a:latin typeface="Cambria Math" panose="02040503050406030204" pitchFamily="18" charset="0"/>
                </a:rPr>
                <a:t>)</a:t>
              </a:r>
              <a:r>
                <a:rPr lang="en-US" sz="160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rPr>
                <a:t>𝑎</a:t>
              </a:r>
              <a:r>
                <a:rPr lang="en-US" sz="1600" b="0" i="0">
                  <a:latin typeface="Cambria Math" panose="02040503050406030204" pitchFamily="18" charset="0"/>
                </a:rPr>
                <a:t>_</a:t>
              </a:r>
              <a:r>
                <a:rPr lang="en-GB" sz="1600" b="0" i="0">
                  <a:latin typeface="Cambria Math" panose="02040503050406030204" pitchFamily="18" charset="0"/>
                </a:rPr>
                <a:t>2</a:t>
              </a:r>
              <a:endParaRPr lang="en-GB" sz="1600" b="0" i="1">
                <a:latin typeface="Cambria Math" panose="02040503050406030204" pitchFamily="18" charset="0"/>
              </a:endParaRPr>
            </a:p>
            <a:p>
              <a:pPr algn="l"/>
              <a:endParaRPr lang="en-GB" sz="1600" b="0" i="1">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GB" sz="1600" b="0" i="0">
                  <a:latin typeface="Cambria Math" panose="02040503050406030204" pitchFamily="18" charset="0"/>
                </a:rPr>
                <a:t>=1</a:t>
              </a:r>
              <a:r>
                <a:rPr lang="en-US" sz="1600" b="0" i="0">
                  <a:latin typeface="Cambria Math" panose="02040503050406030204" pitchFamily="18" charset="0"/>
                </a:rPr>
                <a:t>/</a:t>
              </a:r>
              <a:r>
                <a:rPr lang="en-GB" sz="1600" b="0" i="0">
                  <a:latin typeface="Cambria Math" panose="02040503050406030204" pitchFamily="18" charset="0"/>
                </a:rPr>
                <a:t>𝑚 𝑑_3</a:t>
              </a:r>
              <a:r>
                <a:rPr lang="en-US" sz="160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rPr>
                <a:t>𝑎</a:t>
              </a:r>
              <a:r>
                <a:rPr lang="en-US" sz="1600" b="0" i="0">
                  <a:latin typeface="Cambria Math" panose="02040503050406030204" pitchFamily="18" charset="0"/>
                </a:rPr>
                <a:t>_</a:t>
              </a:r>
              <a:r>
                <a:rPr lang="en-GB" sz="1600" b="0" i="0">
                  <a:latin typeface="Cambria Math" panose="02040503050406030204" pitchFamily="18" charset="0"/>
                </a:rPr>
                <a:t>2</a:t>
              </a:r>
              <a:endParaRPr lang="en-US" sz="1600"/>
            </a:p>
          </xdr:txBody>
        </xdr:sp>
      </mc:Fallback>
    </mc:AlternateContent>
    <xdr:clientData/>
  </xdr:oneCellAnchor>
  <mc:AlternateContent xmlns:mc="http://schemas.openxmlformats.org/markup-compatibility/2006">
    <mc:Choice xmlns:a14="http://schemas.microsoft.com/office/drawing/2010/main" Requires="a14">
      <xdr:twoCellAnchor>
        <xdr:from>
          <xdr:col>15</xdr:col>
          <xdr:colOff>0</xdr:colOff>
          <xdr:row>1</xdr:row>
          <xdr:rowOff>0</xdr:rowOff>
        </xdr:from>
        <xdr:to>
          <xdr:col>18</xdr:col>
          <xdr:colOff>114300</xdr:colOff>
          <xdr:row>4</xdr:row>
          <xdr:rowOff>114300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200-00006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Run one batch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393700</xdr:colOff>
          <xdr:row>0</xdr:row>
          <xdr:rowOff>177800</xdr:rowOff>
        </xdr:from>
        <xdr:to>
          <xdr:col>21</xdr:col>
          <xdr:colOff>558800</xdr:colOff>
          <xdr:row>4</xdr:row>
          <xdr:rowOff>101600</xdr:rowOff>
        </xdr:to>
        <xdr:sp macro="" textlink="">
          <xdr:nvSpPr>
            <xdr:cNvPr id="1128" name="run_one_epoch" descr="Run one epoch" hidden="1">
              <a:extLst>
                <a:ext uri="{63B3BB69-23CF-44E3-9099-C40C66FF867C}">
                  <a14:compatExt spid="_x0000_s1128"/>
                </a:ext>
                <a:ext uri="{FF2B5EF4-FFF2-40B4-BE49-F238E27FC236}">
                  <a16:creationId xmlns:a16="http://schemas.microsoft.com/office/drawing/2014/main" id="{00000000-0008-0000-02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 one epoch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190500</xdr:colOff>
          <xdr:row>0</xdr:row>
          <xdr:rowOff>177800</xdr:rowOff>
        </xdr:from>
        <xdr:to>
          <xdr:col>25</xdr:col>
          <xdr:colOff>38100</xdr:colOff>
          <xdr:row>4</xdr:row>
          <xdr:rowOff>101600</xdr:rowOff>
        </xdr:to>
        <xdr:sp macro="" textlink="">
          <xdr:nvSpPr>
            <xdr:cNvPr id="1129" name="run_one_epoch" descr="Run one epoch" hidden="1">
              <a:extLst>
                <a:ext uri="{63B3BB69-23CF-44E3-9099-C40C66FF867C}">
                  <a14:compatExt spid="_x0000_s1129"/>
                </a:ext>
                <a:ext uri="{FF2B5EF4-FFF2-40B4-BE49-F238E27FC236}">
                  <a16:creationId xmlns:a16="http://schemas.microsoft.com/office/drawing/2014/main" id="{00000000-0008-0000-02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Randomly initialize weights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317500</xdr:colOff>
          <xdr:row>0</xdr:row>
          <xdr:rowOff>177800</xdr:rowOff>
        </xdr:from>
        <xdr:to>
          <xdr:col>29</xdr:col>
          <xdr:colOff>139700</xdr:colOff>
          <xdr:row>4</xdr:row>
          <xdr:rowOff>88900</xdr:rowOff>
        </xdr:to>
        <xdr:sp macro="" textlink="">
          <xdr:nvSpPr>
            <xdr:cNvPr id="1130" name="Button 106" descr="Run one epoch" hidden="1">
              <a:extLst>
                <a:ext uri="{63B3BB69-23CF-44E3-9099-C40C66FF867C}">
                  <a14:compatExt spid="_x0000_s1130"/>
                </a:ext>
                <a:ext uri="{FF2B5EF4-FFF2-40B4-BE49-F238E27FC236}">
                  <a16:creationId xmlns:a16="http://schemas.microsoft.com/office/drawing/2014/main" id="{00000000-0008-0000-0200-00006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Paste in new training data</a:t>
              </a:r>
            </a:p>
          </xdr:txBody>
        </xdr:sp>
        <xdr:clientData fPrintsWithSheet="0"/>
      </xdr:twoCellAnchor>
    </mc:Choice>
    <mc:Fallback/>
  </mc:AlternateContent>
  <xdr:oneCellAnchor>
    <xdr:from>
      <xdr:col>59</xdr:col>
      <xdr:colOff>3803650</xdr:colOff>
      <xdr:row>24</xdr:row>
      <xdr:rowOff>139700</xdr:rowOff>
    </xdr:from>
    <xdr:ext cx="65" cy="172098"/>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8962350" y="5334000"/>
          <a:ext cx="65" cy="1720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oneCellAnchor>
  <xdr:oneCellAnchor>
    <xdr:from>
      <xdr:col>60</xdr:col>
      <xdr:colOff>69361</xdr:colOff>
      <xdr:row>10</xdr:row>
      <xdr:rowOff>263990</xdr:rowOff>
    </xdr:from>
    <xdr:ext cx="5244124" cy="5053243"/>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3546369" y="2274823"/>
              <a:ext cx="5244124" cy="50532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r>
                      <m:rPr>
                        <m:nor/>
                      </m:rPr>
                      <a:rPr lang="en-GB" sz="1600" b="0" i="0" u="sng"/>
                      <m:t>Activation</m:t>
                    </m:r>
                    <m:r>
                      <m:rPr>
                        <m:nor/>
                      </m:rPr>
                      <a:rPr lang="en-GB" sz="1600" b="0" i="0" u="sng"/>
                      <m:t> </m:t>
                    </m:r>
                    <m:r>
                      <m:rPr>
                        <m:nor/>
                      </m:rPr>
                      <a:rPr lang="en-GB" sz="1600" b="0" i="0" u="sng"/>
                      <m:t>derivatives</m:t>
                    </m:r>
                    <m:r>
                      <m:rPr>
                        <m:nor/>
                      </m:rPr>
                      <a:rPr lang="en-GB" sz="1600" b="0" i="0" u="sng"/>
                      <m:t>: </m:t>
                    </m:r>
                  </m:oMath>
                </m:oMathPara>
              </a14:m>
              <a:endParaRPr lang="en-GB" sz="1600" b="0" i="0" u="sng"/>
            </a:p>
            <a:p>
              <a:pPr marL="0" marR="0" lvl="0" indent="0" algn="l" defTabSz="914400" eaLnBrk="1" fontAlgn="auto" latinLnBrk="0" hangingPunct="1">
                <a:lnSpc>
                  <a:spcPct val="100000"/>
                </a:lnSpc>
                <a:spcBef>
                  <a:spcPts val="0"/>
                </a:spcBef>
                <a:spcAft>
                  <a:spcPts val="0"/>
                </a:spcAft>
                <a:buClrTx/>
                <a:buSzTx/>
                <a:buFontTx/>
                <a:buNone/>
                <a:tabLst/>
                <a:defRPr/>
              </a:pPr>
              <a:endParaRPr lang="en-GB" sz="1600" b="0" i="0"/>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r>
                      <m:rPr>
                        <m:nor/>
                      </m:rPr>
                      <a:rPr lang="en-GB" sz="1600" b="0" i="1" u="sng"/>
                      <m:t>Sigmoid</m:t>
                    </m:r>
                    <m:r>
                      <m:rPr>
                        <m:nor/>
                      </m:rPr>
                      <a:rPr lang="en-GB" sz="1600" b="0" i="1" u="sng"/>
                      <m:t>/</m:t>
                    </m:r>
                    <m:r>
                      <m:rPr>
                        <m:nor/>
                      </m:rPr>
                      <a:rPr lang="en-GB" sz="1600" b="0" i="1" u="sng"/>
                      <m:t>logistic</m:t>
                    </m:r>
                    <m:r>
                      <m:rPr>
                        <m:nor/>
                      </m:rPr>
                      <a:rPr lang="en-GB" sz="1600" b="0" i="1" u="sng"/>
                      <m:t>:</m:t>
                    </m:r>
                  </m:oMath>
                </m:oMathPara>
              </a14:m>
              <a:endParaRPr lang="en-GB" sz="1600" b="0" i="1" u="sng"/>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r>
                      <m:rPr>
                        <m:sty m:val="p"/>
                      </m:rPr>
                      <a:rPr lang="el-GR" sz="1600" b="0" i="1">
                        <a:latin typeface="Cambria Math" panose="02040503050406030204" pitchFamily="18" charset="0"/>
                        <a:ea typeface="Cambria Math" panose="02040503050406030204" pitchFamily="18" charset="0"/>
                      </a:rPr>
                      <m:t>Λ</m:t>
                    </m:r>
                    <m:d>
                      <m:dPr>
                        <m:ctrlPr>
                          <a:rPr lang="en-GB" sz="1600" b="0" i="1">
                            <a:latin typeface="Cambria Math" panose="02040503050406030204" pitchFamily="18" charset="0"/>
                            <a:ea typeface="Cambria Math" panose="02040503050406030204" pitchFamily="18" charset="0"/>
                          </a:rPr>
                        </m:ctrlPr>
                      </m:dPr>
                      <m:e>
                        <m:r>
                          <a:rPr lang="en-GB" sz="1600" b="0" i="1">
                            <a:latin typeface="Cambria Math" panose="02040503050406030204" pitchFamily="18" charset="0"/>
                          </a:rPr>
                          <m:t>𝑥</m:t>
                        </m:r>
                      </m:e>
                    </m:d>
                    <m:r>
                      <a:rPr lang="en-GB" sz="1600" b="0" i="1">
                        <a:latin typeface="Cambria Math" panose="02040503050406030204" pitchFamily="18" charset="0"/>
                      </a:rPr>
                      <m:t>=</m:t>
                    </m:r>
                    <m:f>
                      <m:fPr>
                        <m:ctrlPr>
                          <a:rPr lang="en-GB" sz="1600" b="0" i="1">
                            <a:latin typeface="Cambria Math" panose="02040503050406030204" pitchFamily="18" charset="0"/>
                          </a:rPr>
                        </m:ctrlPr>
                      </m:fPr>
                      <m:num>
                        <m:r>
                          <a:rPr lang="en-GB" sz="1600" b="0" i="1">
                            <a:latin typeface="Cambria Math" panose="02040503050406030204" pitchFamily="18" charset="0"/>
                          </a:rPr>
                          <m:t>1</m:t>
                        </m:r>
                      </m:num>
                      <m:den>
                        <m:r>
                          <a:rPr lang="en-GB" sz="1600" b="0" i="1">
                            <a:latin typeface="Cambria Math" panose="02040503050406030204" pitchFamily="18" charset="0"/>
                          </a:rPr>
                          <m:t>1+</m:t>
                        </m:r>
                        <m:sSup>
                          <m:sSupPr>
                            <m:ctrlPr>
                              <a:rPr lang="en-GB" sz="1600" b="0" i="1">
                                <a:latin typeface="Cambria Math" panose="02040503050406030204" pitchFamily="18" charset="0"/>
                              </a:rPr>
                            </m:ctrlPr>
                          </m:sSupPr>
                          <m:e>
                            <m:r>
                              <a:rPr lang="en-GB" sz="1600" b="0" i="1">
                                <a:latin typeface="Cambria Math" panose="02040503050406030204" pitchFamily="18" charset="0"/>
                              </a:rPr>
                              <m:t>𝑒</m:t>
                            </m:r>
                          </m:e>
                          <m:sup>
                            <m:r>
                              <a:rPr lang="en-GB" sz="1600" b="0" i="1">
                                <a:latin typeface="Cambria Math" panose="02040503050406030204" pitchFamily="18" charset="0"/>
                              </a:rPr>
                              <m:t>𝑥</m:t>
                            </m:r>
                          </m:sup>
                        </m:sSup>
                      </m:den>
                    </m:f>
                  </m:oMath>
                </m:oMathPara>
              </a14:m>
              <a:endParaRPr lang="en-GB" sz="1600" b="0" i="1"/>
            </a:p>
            <a:p>
              <a:pPr marL="0" marR="0" lvl="0" indent="0" algn="l" defTabSz="914400" eaLnBrk="1" fontAlgn="auto" latinLnBrk="0" hangingPunct="1">
                <a:lnSpc>
                  <a:spcPct val="100000"/>
                </a:lnSpc>
                <a:spcBef>
                  <a:spcPts val="0"/>
                </a:spcBef>
                <a:spcAft>
                  <a:spcPts val="0"/>
                </a:spcAft>
                <a:buClrTx/>
                <a:buSzTx/>
                <a:buFontTx/>
                <a:buNone/>
                <a:tabLst/>
                <a:defRPr/>
              </a:pPr>
              <a:endParaRPr lang="en-GB" sz="1600" b="0" i="1"/>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r>
                      <a:rPr lang="en-GB" sz="1600" b="0" i="0">
                        <a:latin typeface="Cambria Math" panose="02040503050406030204" pitchFamily="18" charset="0"/>
                      </a:rPr>
                      <m:t> </m:t>
                    </m:r>
                    <m:f>
                      <m:fPr>
                        <m:ctrlPr>
                          <a:rPr lang="en-US" sz="1600" i="1">
                            <a:latin typeface="Cambria Math" panose="02040503050406030204" pitchFamily="18" charset="0"/>
                          </a:rPr>
                        </m:ctrlPr>
                      </m:fPr>
                      <m:num>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𝑙</m:t>
                            </m:r>
                          </m:sub>
                        </m:sSub>
                      </m:num>
                      <m:den>
                        <m:r>
                          <a:rPr lang="en-US" sz="1600" i="1">
                            <a:latin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𝑙</m:t>
                            </m:r>
                          </m:sub>
                        </m:sSub>
                      </m:den>
                    </m:f>
                    <m:r>
                      <a:rPr lang="en-GB" sz="1600" b="0" i="1">
                        <a:latin typeface="Cambria Math" panose="02040503050406030204" pitchFamily="18" charset="0"/>
                      </a:rPr>
                      <m:t>=</m:t>
                    </m:r>
                    <m:f>
                      <m:fPr>
                        <m:ctrlPr>
                          <a:rPr lang="en-US" sz="1600" i="1">
                            <a:latin typeface="Cambria Math" panose="02040503050406030204" pitchFamily="18" charset="0"/>
                          </a:rPr>
                        </m:ctrlPr>
                      </m:fPr>
                      <m:num>
                        <m:r>
                          <a:rPr lang="en-US" sz="1600" i="1">
                            <a:latin typeface="Cambria Math" panose="02040503050406030204" pitchFamily="18" charset="0"/>
                          </a:rPr>
                          <m:t>𝜕</m:t>
                        </m:r>
                        <m:r>
                          <m:rPr>
                            <m:sty m:val="p"/>
                          </m:rPr>
                          <a:rPr lang="el-GR" sz="1600" b="0" i="1">
                            <a:latin typeface="Cambria Math" panose="02040503050406030204" pitchFamily="18" charset="0"/>
                            <a:ea typeface="Cambria Math" panose="02040503050406030204" pitchFamily="18" charset="0"/>
                          </a:rPr>
                          <m:t>Λ</m:t>
                        </m:r>
                        <m:d>
                          <m:dPr>
                            <m:ctrlPr>
                              <a:rPr lang="en-GB" sz="1600" b="0" i="1">
                                <a:latin typeface="Cambria Math" panose="02040503050406030204" pitchFamily="18" charset="0"/>
                                <a:ea typeface="Cambria Math" panose="02040503050406030204" pitchFamily="18" charset="0"/>
                              </a:rPr>
                            </m:ctrlPr>
                          </m:dPr>
                          <m:e>
                            <m:sSub>
                              <m:sSubPr>
                                <m:ctrlPr>
                                  <a:rPr lang="en-GB" sz="1600" b="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𝑙</m:t>
                                </m:r>
                              </m:sub>
                            </m:sSub>
                          </m:e>
                        </m:d>
                      </m:num>
                      <m:den>
                        <m:r>
                          <a:rPr lang="en-US" sz="1600" i="1">
                            <a:latin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𝑙</m:t>
                            </m:r>
                          </m:sub>
                        </m:sSub>
                      </m:den>
                    </m:f>
                    <m:r>
                      <a:rPr lang="en-GB" sz="1600" b="0" i="1">
                        <a:latin typeface="Cambria Math" panose="02040503050406030204" pitchFamily="18" charset="0"/>
                      </a:rPr>
                      <m:t>=</m:t>
                    </m:r>
                    <m:d>
                      <m:dPr>
                        <m:begChr m:val="["/>
                        <m:endChr m:val="]"/>
                        <m:ctrlPr>
                          <a:rPr lang="en-US" sz="1600" b="0" i="1">
                            <a:latin typeface="Cambria Math" panose="02040503050406030204" pitchFamily="18" charset="0"/>
                            <a:ea typeface="Cambria Math" panose="02040503050406030204" pitchFamily="18" charset="0"/>
                          </a:rPr>
                        </m:ctrlPr>
                      </m:dPr>
                      <m:e>
                        <m:r>
                          <m:rPr>
                            <m:sty m:val="p"/>
                          </m:rPr>
                          <a:rPr lang="el-GR" sz="1600" b="0" i="1">
                            <a:latin typeface="Cambria Math" panose="02040503050406030204" pitchFamily="18" charset="0"/>
                            <a:ea typeface="Cambria Math" panose="02040503050406030204" pitchFamily="18" charset="0"/>
                          </a:rPr>
                          <m:t>Λ</m:t>
                        </m:r>
                        <m:d>
                          <m:dPr>
                            <m:ctrlPr>
                              <a:rPr lang="en-GB" sz="1600" b="0" i="1">
                                <a:latin typeface="Cambria Math" panose="02040503050406030204" pitchFamily="18" charset="0"/>
                                <a:ea typeface="Cambria Math" panose="02040503050406030204" pitchFamily="18" charset="0"/>
                              </a:rPr>
                            </m:ctrlPr>
                          </m:dPr>
                          <m:e>
                            <m:sSub>
                              <m:sSubPr>
                                <m:ctrlPr>
                                  <a:rPr lang="en-GB" sz="1600" b="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𝑙</m:t>
                                </m:r>
                              </m:sub>
                            </m:sSub>
                          </m:e>
                        </m:d>
                        <m:r>
                          <a:rPr lang="en-GB" sz="1600" b="0" i="1">
                            <a:latin typeface="Cambria Math" panose="02040503050406030204" pitchFamily="18" charset="0"/>
                            <a:ea typeface="Cambria Math" panose="02040503050406030204" pitchFamily="18" charset="0"/>
                          </a:rPr>
                          <m:t>×</m:t>
                        </m:r>
                        <m:d>
                          <m:dPr>
                            <m:begChr m:val="["/>
                            <m:endChr m:val="]"/>
                            <m:ctrlPr>
                              <a:rPr lang="en-GB" sz="1600" b="0" i="1">
                                <a:latin typeface="Cambria Math" panose="02040503050406030204" pitchFamily="18" charset="0"/>
                                <a:ea typeface="Cambria Math" panose="02040503050406030204" pitchFamily="18" charset="0"/>
                              </a:rPr>
                            </m:ctrlPr>
                          </m:dPr>
                          <m:e>
                            <m:r>
                              <a:rPr lang="en-GB" sz="1600" b="0" i="1">
                                <a:latin typeface="Cambria Math" panose="02040503050406030204" pitchFamily="18" charset="0"/>
                                <a:ea typeface="Cambria Math" panose="02040503050406030204" pitchFamily="18" charset="0"/>
                              </a:rPr>
                              <m:t>1−</m:t>
                            </m:r>
                            <m:r>
                              <m:rPr>
                                <m:sty m:val="p"/>
                              </m:rPr>
                              <a:rPr lang="el-GR" sz="1600" b="0" i="1">
                                <a:latin typeface="Cambria Math" panose="02040503050406030204" pitchFamily="18" charset="0"/>
                                <a:ea typeface="Cambria Math" panose="02040503050406030204" pitchFamily="18" charset="0"/>
                              </a:rPr>
                              <m:t>Λ</m:t>
                            </m:r>
                            <m:d>
                              <m:dPr>
                                <m:ctrlPr>
                                  <a:rPr lang="en-GB" sz="1600" b="0" i="1">
                                    <a:latin typeface="Cambria Math" panose="02040503050406030204" pitchFamily="18" charset="0"/>
                                    <a:ea typeface="Cambria Math" panose="02040503050406030204" pitchFamily="18" charset="0"/>
                                  </a:rPr>
                                </m:ctrlPr>
                              </m:dPr>
                              <m:e>
                                <m:sSub>
                                  <m:sSubPr>
                                    <m:ctrlPr>
                                      <a:rPr lang="en-GB" sz="1600" b="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𝑙</m:t>
                                    </m:r>
                                  </m:sub>
                                </m:sSub>
                              </m:e>
                            </m:d>
                          </m:e>
                        </m:d>
                      </m:e>
                    </m:d>
                  </m:oMath>
                </m:oMathPara>
              </a14:m>
              <a:endParaRPr lang="en-GB" sz="1600" b="0" i="1">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600" b="0" i="1">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m:rPr>
                      <m:nor/>
                    </m:rPr>
                    <a:rPr lang="en-GB" sz="1600" b="0" i="1" u="sng"/>
                    <m:t>Tanh</m:t>
                  </m:r>
                  <m:r>
                    <m:rPr>
                      <m:nor/>
                    </m:rPr>
                    <a:rPr lang="en-GB" sz="1600" b="0" i="1" u="sng"/>
                    <m:t>:</m:t>
                  </m:r>
                </m:oMath>
              </a14:m>
              <a:r>
                <a:rPr lang="en-GB" sz="1600" b="0" i="1" u="sng"/>
                <a:t> </a:t>
              </a:r>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f>
                      <m:fPr>
                        <m:ctrlPr>
                          <a:rPr lang="en-US" sz="1600" i="1">
                            <a:latin typeface="Cambria Math" panose="02040503050406030204" pitchFamily="18" charset="0"/>
                          </a:rPr>
                        </m:ctrlPr>
                      </m:fPr>
                      <m:num>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𝑙</m:t>
                            </m:r>
                          </m:sub>
                        </m:sSub>
                      </m:num>
                      <m:den>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𝑙</m:t>
                            </m:r>
                          </m:sub>
                        </m:sSub>
                      </m:den>
                    </m:f>
                    <m:r>
                      <a:rPr lang="en-GB" sz="1600" b="0" i="1">
                        <a:latin typeface="Cambria Math" panose="02040503050406030204" pitchFamily="18" charset="0"/>
                      </a:rPr>
                      <m:t>=</m:t>
                    </m:r>
                    <m:f>
                      <m:fPr>
                        <m:ctrlPr>
                          <a:rPr lang="en-US" sz="1600" i="1">
                            <a:latin typeface="Cambria Math" panose="02040503050406030204" pitchFamily="18" charset="0"/>
                          </a:rPr>
                        </m:ctrlPr>
                      </m:fPr>
                      <m:num>
                        <m:r>
                          <a:rPr lang="en-US" sz="1600" i="1">
                            <a:latin typeface="Cambria Math" panose="02040503050406030204" pitchFamily="18" charset="0"/>
                          </a:rPr>
                          <m:t>𝜕</m:t>
                        </m:r>
                        <m:func>
                          <m:funcPr>
                            <m:ctrlPr>
                              <a:rPr lang="en-GB" sz="1600" b="0" i="1">
                                <a:latin typeface="Cambria Math" panose="02040503050406030204" pitchFamily="18" charset="0"/>
                                <a:ea typeface="Cambria Math" panose="02040503050406030204" pitchFamily="18" charset="0"/>
                              </a:rPr>
                            </m:ctrlPr>
                          </m:funcPr>
                          <m:fName>
                            <m:r>
                              <m:rPr>
                                <m:sty m:val="p"/>
                              </m:rPr>
                              <a:rPr lang="en-GB" sz="1600" b="0" i="0">
                                <a:latin typeface="Cambria Math" panose="02040503050406030204" pitchFamily="18" charset="0"/>
                                <a:ea typeface="Cambria Math" panose="02040503050406030204" pitchFamily="18" charset="0"/>
                              </a:rPr>
                              <m:t>tanh</m:t>
                            </m:r>
                          </m:fName>
                          <m:e>
                            <m:d>
                              <m:dPr>
                                <m:ctrlPr>
                                  <a:rPr lang="en-GB" sz="1600" b="0" i="1">
                                    <a:latin typeface="Cambria Math" panose="02040503050406030204" pitchFamily="18" charset="0"/>
                                    <a:ea typeface="Cambria Math" panose="02040503050406030204" pitchFamily="18" charset="0"/>
                                  </a:rPr>
                                </m:ctrlPr>
                              </m:dPr>
                              <m:e>
                                <m:sSub>
                                  <m:sSubPr>
                                    <m:ctrlPr>
                                      <a:rPr lang="en-GB" sz="1600" b="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𝑙</m:t>
                                    </m:r>
                                  </m:sub>
                                </m:sSub>
                              </m:e>
                            </m:d>
                          </m:e>
                        </m:func>
                      </m:num>
                      <m:den>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𝑙</m:t>
                            </m:r>
                          </m:sub>
                        </m:sSub>
                      </m:den>
                    </m:f>
                    <m:r>
                      <a:rPr lang="en-GB" sz="1600" b="0" i="1">
                        <a:latin typeface="Cambria Math" panose="02040503050406030204" pitchFamily="18" charset="0"/>
                      </a:rPr>
                      <m:t>=</m:t>
                    </m:r>
                    <m:r>
                      <a:rPr lang="en-GB" sz="1600" b="0" i="1">
                        <a:latin typeface="Cambria Math" panose="02040503050406030204" pitchFamily="18" charset="0"/>
                        <a:ea typeface="Cambria Math" panose="02040503050406030204" pitchFamily="18" charset="0"/>
                      </a:rPr>
                      <m:t>1−</m:t>
                    </m:r>
                    <m:func>
                      <m:funcPr>
                        <m:ctrlPr>
                          <a:rPr lang="en-GB" sz="1600" b="0" i="1">
                            <a:latin typeface="Cambria Math" panose="02040503050406030204" pitchFamily="18" charset="0"/>
                            <a:ea typeface="Cambria Math" panose="02040503050406030204" pitchFamily="18" charset="0"/>
                          </a:rPr>
                        </m:ctrlPr>
                      </m:funcPr>
                      <m:fName>
                        <m:sSup>
                          <m:sSupPr>
                            <m:ctrlPr>
                              <a:rPr lang="en-GB" sz="1600" b="0" i="1">
                                <a:latin typeface="Cambria Math" panose="02040503050406030204" pitchFamily="18" charset="0"/>
                                <a:ea typeface="Cambria Math" panose="02040503050406030204" pitchFamily="18" charset="0"/>
                              </a:rPr>
                            </m:ctrlPr>
                          </m:sSupPr>
                          <m:e>
                            <m:r>
                              <m:rPr>
                                <m:sty m:val="p"/>
                              </m:rPr>
                              <a:rPr lang="en-GB" sz="1600" b="0" i="0">
                                <a:latin typeface="Cambria Math" panose="02040503050406030204" pitchFamily="18" charset="0"/>
                                <a:ea typeface="Cambria Math" panose="02040503050406030204" pitchFamily="18" charset="0"/>
                              </a:rPr>
                              <m:t>tanh</m:t>
                            </m:r>
                          </m:e>
                          <m:sup>
                            <m:r>
                              <a:rPr lang="en-GB" sz="1600" b="0" i="1">
                                <a:latin typeface="Cambria Math" panose="02040503050406030204" pitchFamily="18" charset="0"/>
                                <a:ea typeface="Cambria Math" panose="02040503050406030204" pitchFamily="18" charset="0"/>
                              </a:rPr>
                              <m:t>2</m:t>
                            </m:r>
                          </m:sup>
                        </m:sSup>
                      </m:fName>
                      <m:e>
                        <m:d>
                          <m:dPr>
                            <m:ctrlPr>
                              <a:rPr lang="en-GB" sz="1600" b="0" i="1">
                                <a:latin typeface="Cambria Math" panose="02040503050406030204" pitchFamily="18" charset="0"/>
                                <a:ea typeface="Cambria Math" panose="02040503050406030204" pitchFamily="18" charset="0"/>
                              </a:rPr>
                            </m:ctrlPr>
                          </m:dPr>
                          <m:e>
                            <m:sSub>
                              <m:sSubPr>
                                <m:ctrlPr>
                                  <a:rPr lang="en-GB" sz="1600" b="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𝑙</m:t>
                                </m:r>
                              </m:sub>
                            </m:sSub>
                          </m:e>
                        </m:d>
                      </m:e>
                    </m:func>
                  </m:oMath>
                </m:oMathPara>
              </a14:m>
              <a:endParaRPr lang="en-GB" sz="1600" b="0" i="1"/>
            </a:p>
            <a:p>
              <a:pPr marL="0" marR="0" lvl="0" indent="0" algn="l" defTabSz="914400" eaLnBrk="1" fontAlgn="auto" latinLnBrk="0" hangingPunct="1">
                <a:lnSpc>
                  <a:spcPct val="100000"/>
                </a:lnSpc>
                <a:spcBef>
                  <a:spcPts val="0"/>
                </a:spcBef>
                <a:spcAft>
                  <a:spcPts val="0"/>
                </a:spcAft>
                <a:buClrTx/>
                <a:buSzTx/>
                <a:buFontTx/>
                <a:buNone/>
                <a:tabLst/>
                <a:defRPr/>
              </a:pPr>
              <a:endParaRPr lang="en-GB" sz="1600"/>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r>
                      <m:rPr>
                        <m:nor/>
                      </m:rPr>
                      <a:rPr lang="en-GB" sz="1600" b="0" i="1" u="sng"/>
                      <m:t>Leaky</m:t>
                    </m:r>
                    <m:r>
                      <m:rPr>
                        <m:nor/>
                      </m:rPr>
                      <a:rPr lang="en-GB" sz="1600" b="0" i="1" u="sng"/>
                      <m:t> </m:t>
                    </m:r>
                    <m:r>
                      <m:rPr>
                        <m:nor/>
                      </m:rPr>
                      <a:rPr lang="en-GB" sz="1600" b="0" i="1" u="sng"/>
                      <m:t>ReLU</m:t>
                    </m:r>
                    <m:r>
                      <m:rPr>
                        <m:nor/>
                      </m:rPr>
                      <a:rPr lang="en-GB" sz="1600" b="0" i="1" u="sng"/>
                      <m:t>:</m:t>
                    </m:r>
                  </m:oMath>
                </m:oMathPara>
              </a14:m>
              <a:endParaRPr lang="en-GB" sz="1600" u="sng"/>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f>
                      <m:fPr>
                        <m:ctrlPr>
                          <a:rPr lang="en-US" sz="1600" i="1">
                            <a:latin typeface="Cambria Math" panose="02040503050406030204" pitchFamily="18" charset="0"/>
                          </a:rPr>
                        </m:ctrlPr>
                      </m:fPr>
                      <m:num>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𝑙</m:t>
                            </m:r>
                          </m:sub>
                        </m:sSub>
                      </m:num>
                      <m:den>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𝑙</m:t>
                            </m:r>
                          </m:sub>
                        </m:sSub>
                      </m:den>
                    </m:f>
                    <m:r>
                      <a:rPr lang="en-GB" sz="1600" b="0" i="1">
                        <a:latin typeface="Cambria Math" panose="02040503050406030204" pitchFamily="18" charset="0"/>
                      </a:rPr>
                      <m:t>=</m:t>
                    </m:r>
                    <m:d>
                      <m:dPr>
                        <m:begChr m:val="{"/>
                        <m:endChr m:val=""/>
                        <m:ctrlPr>
                          <a:rPr lang="en-GB" sz="1600" b="0" i="1">
                            <a:latin typeface="Cambria Math" panose="02040503050406030204" pitchFamily="18" charset="0"/>
                          </a:rPr>
                        </m:ctrlPr>
                      </m:dPr>
                      <m:e>
                        <m:eqArr>
                          <m:eqArrPr>
                            <m:ctrlPr>
                              <a:rPr lang="en-GB" sz="1600" b="0" i="1">
                                <a:latin typeface="Cambria Math" panose="02040503050406030204" pitchFamily="18" charset="0"/>
                              </a:rPr>
                            </m:ctrlPr>
                          </m:eqArrPr>
                          <m:e>
                            <m:r>
                              <a:rPr lang="en-GB" sz="1600" b="0" i="1">
                                <a:latin typeface="Cambria Math" panose="02040503050406030204" pitchFamily="18" charset="0"/>
                              </a:rPr>
                              <m:t>1,        </m:t>
                            </m:r>
                            <m:r>
                              <a:rPr lang="en-GB" sz="1600" b="0" i="1">
                                <a:latin typeface="Cambria Math" panose="02040503050406030204" pitchFamily="18" charset="0"/>
                              </a:rPr>
                              <m:t>𝑥</m:t>
                            </m:r>
                            <m:r>
                              <a:rPr lang="en-GB" sz="1600" b="0" i="1">
                                <a:latin typeface="Cambria Math" panose="02040503050406030204" pitchFamily="18" charset="0"/>
                                <a:ea typeface="Cambria Math" panose="02040503050406030204" pitchFamily="18" charset="0"/>
                              </a:rPr>
                              <m:t>&gt;</m:t>
                            </m:r>
                            <m:r>
                              <a:rPr lang="en-GB" sz="1600" b="0" i="1">
                                <a:latin typeface="Cambria Math" panose="02040503050406030204" pitchFamily="18" charset="0"/>
                              </a:rPr>
                              <m:t>0</m:t>
                            </m:r>
                          </m:e>
                          <m:e>
                            <m:r>
                              <a:rPr lang="en-GB" sz="1600" b="0" i="1">
                                <a:latin typeface="Cambria Math" panose="02040503050406030204" pitchFamily="18" charset="0"/>
                              </a:rPr>
                              <m:t>&amp;0.01,  </m:t>
                            </m:r>
                            <m:r>
                              <a:rPr lang="en-GB" sz="1600" b="0" i="1">
                                <a:latin typeface="Cambria Math" panose="02040503050406030204" pitchFamily="18" charset="0"/>
                              </a:rPr>
                              <m:t>𝑥</m:t>
                            </m:r>
                            <m:r>
                              <a:rPr lang="en-GB" sz="1600" b="0" i="1">
                                <a:latin typeface="Cambria Math" panose="02040503050406030204" pitchFamily="18" charset="0"/>
                                <a:ea typeface="Cambria Math" panose="02040503050406030204" pitchFamily="18" charset="0"/>
                              </a:rPr>
                              <m:t>≤</m:t>
                            </m:r>
                            <m:r>
                              <a:rPr lang="en-GB" sz="1600" b="0" i="1">
                                <a:latin typeface="Cambria Math" panose="02040503050406030204" pitchFamily="18" charset="0"/>
                              </a:rPr>
                              <m:t>0</m:t>
                            </m:r>
                          </m:e>
                        </m:eqArr>
                      </m:e>
                    </m:d>
                  </m:oMath>
                </m:oMathPara>
              </a14:m>
              <a:endParaRPr lang="en-GB" sz="1600" b="0" i="1">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600" b="0" i="1">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r>
                      <m:rPr>
                        <m:nor/>
                      </m:rPr>
                      <a:rPr lang="en-GB" sz="1600" b="0" i="1" u="sng"/>
                      <m:t>Exponential</m:t>
                    </m:r>
                    <m:r>
                      <m:rPr>
                        <m:nor/>
                      </m:rPr>
                      <a:rPr lang="en-GB" sz="1600" b="0" i="1" u="sng"/>
                      <m:t>:</m:t>
                    </m:r>
                  </m:oMath>
                </m:oMathPara>
              </a14:m>
              <a:endParaRPr lang="en-GB" sz="1600"/>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f>
                      <m:fPr>
                        <m:ctrlPr>
                          <a:rPr lang="en-US" sz="1600" i="1">
                            <a:latin typeface="Cambria Math" panose="02040503050406030204" pitchFamily="18" charset="0"/>
                          </a:rPr>
                        </m:ctrlPr>
                      </m:fPr>
                      <m:num>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𝑙</m:t>
                            </m:r>
                          </m:sub>
                        </m:sSub>
                      </m:num>
                      <m:den>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𝑙</m:t>
                            </m:r>
                          </m:sub>
                        </m:sSub>
                      </m:den>
                    </m:f>
                    <m:r>
                      <a:rPr lang="en-GB" sz="1600" b="0" i="1">
                        <a:latin typeface="Cambria Math" panose="02040503050406030204" pitchFamily="18" charset="0"/>
                      </a:rPr>
                      <m:t>=</m:t>
                    </m:r>
                    <m:f>
                      <m:fPr>
                        <m:ctrlPr>
                          <a:rPr lang="en-US" sz="1600" i="1">
                            <a:latin typeface="Cambria Math" panose="02040503050406030204" pitchFamily="18" charset="0"/>
                          </a:rPr>
                        </m:ctrlPr>
                      </m:fPr>
                      <m:num>
                        <m:r>
                          <a:rPr lang="en-US" sz="1600" i="1">
                            <a:latin typeface="Cambria Math" panose="02040503050406030204" pitchFamily="18" charset="0"/>
                          </a:rPr>
                          <m:t>𝜕</m:t>
                        </m:r>
                        <m:sSup>
                          <m:sSupPr>
                            <m:ctrlPr>
                              <a:rPr lang="en-GB" sz="1600" b="0" i="1">
                                <a:latin typeface="Cambria Math" panose="02040503050406030204" pitchFamily="18" charset="0"/>
                              </a:rPr>
                            </m:ctrlPr>
                          </m:sSupPr>
                          <m:e>
                            <m:r>
                              <a:rPr lang="en-GB" sz="1600" b="0" i="1">
                                <a:latin typeface="Cambria Math" panose="02040503050406030204" pitchFamily="18" charset="0"/>
                              </a:rPr>
                              <m:t>𝑒</m:t>
                            </m:r>
                          </m:e>
                          <m:sup>
                            <m:sSub>
                              <m:sSubPr>
                                <m:ctrlPr>
                                  <a:rPr lang="en-GB" sz="1600" b="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𝑙</m:t>
                                </m:r>
                              </m:sub>
                            </m:sSub>
                          </m:sup>
                        </m:sSup>
                      </m:num>
                      <m:den>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𝑙</m:t>
                            </m:r>
                          </m:sub>
                        </m:sSub>
                      </m:den>
                    </m:f>
                    <m:r>
                      <a:rPr lang="en-GB" sz="1600" b="0" i="1">
                        <a:latin typeface="Cambria Math" panose="02040503050406030204" pitchFamily="18" charset="0"/>
                      </a:rPr>
                      <m:t>=</m:t>
                    </m:r>
                    <m:sSup>
                      <m:sSupPr>
                        <m:ctrlPr>
                          <a:rPr lang="en-GB" sz="1600" b="0" i="1">
                            <a:latin typeface="Cambria Math" panose="02040503050406030204" pitchFamily="18" charset="0"/>
                          </a:rPr>
                        </m:ctrlPr>
                      </m:sSupPr>
                      <m:e>
                        <m:sSub>
                          <m:sSubPr>
                            <m:ctrlPr>
                              <a:rPr lang="en-GB" sz="1600" b="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𝑙</m:t>
                            </m:r>
                          </m:sub>
                        </m:sSub>
                        <m:r>
                          <a:rPr lang="en-GB" sz="1600" b="0" i="1">
                            <a:latin typeface="Cambria Math" panose="02040503050406030204" pitchFamily="18" charset="0"/>
                          </a:rPr>
                          <m:t>𝑒</m:t>
                        </m:r>
                      </m:e>
                      <m:sup>
                        <m:sSub>
                          <m:sSubPr>
                            <m:ctrlPr>
                              <a:rPr lang="en-GB" sz="1600" b="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𝑙</m:t>
                            </m:r>
                          </m:sub>
                        </m:sSub>
                      </m:sup>
                    </m:sSup>
                  </m:oMath>
                </m:oMathPara>
              </a14:m>
              <a:endParaRPr lang="en-GB" sz="1600" b="0" i="1">
                <a:latin typeface="Cambria Math" panose="02040503050406030204" pitchFamily="18" charset="0"/>
              </a:endParaRPr>
            </a:p>
          </xdr:txBody>
        </xdr:sp>
      </mc:Choice>
      <mc:Fallback xmlns="">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3546369" y="2274823"/>
              <a:ext cx="5244124" cy="505324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lang="en-GB" sz="1600" b="0" i="0" u="sng">
                  <a:latin typeface="Cambria Math" panose="02040503050406030204" pitchFamily="18" charset="0"/>
                </a:rPr>
                <a:t>"Activation derivatives: </a:t>
              </a:r>
              <a:r>
                <a:rPr lang="en-US" sz="1600" b="0" i="0" u="sng"/>
                <a:t>"</a:t>
              </a:r>
              <a:endParaRPr lang="en-GB" sz="1600" b="0" i="0" u="sng"/>
            </a:p>
            <a:p>
              <a:pPr marL="0" marR="0" lvl="0" indent="0" algn="l" defTabSz="914400" eaLnBrk="1" fontAlgn="auto" latinLnBrk="0" hangingPunct="1">
                <a:lnSpc>
                  <a:spcPct val="100000"/>
                </a:lnSpc>
                <a:spcBef>
                  <a:spcPts val="0"/>
                </a:spcBef>
                <a:spcAft>
                  <a:spcPts val="0"/>
                </a:spcAft>
                <a:buClrTx/>
                <a:buSzTx/>
                <a:buFontTx/>
                <a:buNone/>
                <a:tabLst/>
                <a:defRPr/>
              </a:pPr>
              <a:endParaRPr lang="en-GB" sz="1600" b="0" i="0"/>
            </a:p>
            <a:p>
              <a:pPr marL="0" marR="0" lvl="0" indent="0" algn="l" defTabSz="914400" eaLnBrk="1" fontAlgn="auto" latinLnBrk="0" hangingPunct="1">
                <a:lnSpc>
                  <a:spcPct val="100000"/>
                </a:lnSpc>
                <a:spcBef>
                  <a:spcPts val="0"/>
                </a:spcBef>
                <a:spcAft>
                  <a:spcPts val="0"/>
                </a:spcAft>
                <a:buClrTx/>
                <a:buSzTx/>
                <a:buFontTx/>
                <a:buNone/>
                <a:tabLst/>
                <a:defRPr/>
              </a:pPr>
              <a:r>
                <a:rPr lang="en-GB" sz="1600" b="0" i="0" u="sng">
                  <a:latin typeface="Cambria Math" panose="02040503050406030204" pitchFamily="18" charset="0"/>
                </a:rPr>
                <a:t>"Sigmoid/logistic:</a:t>
              </a:r>
              <a:r>
                <a:rPr lang="en-US" sz="1600" b="0" i="0" u="sng"/>
                <a:t>"</a:t>
              </a:r>
              <a:endParaRPr lang="en-GB" sz="1600" b="0" i="1" u="sng"/>
            </a:p>
            <a:p>
              <a:pPr marL="0" marR="0" lvl="0" indent="0" algn="l" defTabSz="914400" eaLnBrk="1" fontAlgn="auto" latinLnBrk="0" hangingPunct="1">
                <a:lnSpc>
                  <a:spcPct val="100000"/>
                </a:lnSpc>
                <a:spcBef>
                  <a:spcPts val="0"/>
                </a:spcBef>
                <a:spcAft>
                  <a:spcPts val="0"/>
                </a:spcAft>
                <a:buClrTx/>
                <a:buSzTx/>
                <a:buFontTx/>
                <a:buNone/>
                <a:tabLst/>
                <a:defRPr/>
              </a:pPr>
              <a:r>
                <a:rPr lang="el-GR" sz="1600" b="0" i="0">
                  <a:latin typeface="Cambria Math" panose="02040503050406030204" pitchFamily="18" charset="0"/>
                  <a:ea typeface="Cambria Math" panose="02040503050406030204" pitchFamily="18" charset="0"/>
                </a:rPr>
                <a:t>Λ</a:t>
              </a:r>
              <a:r>
                <a:rPr lang="en-GB" sz="1600" b="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rPr>
                <a:t>𝑥)=1/(1+𝑒^𝑥 )</a:t>
              </a:r>
              <a:endParaRPr lang="en-GB" sz="1600" b="0" i="1"/>
            </a:p>
            <a:p>
              <a:pPr marL="0" marR="0" lvl="0" indent="0" algn="l" defTabSz="914400" eaLnBrk="1" fontAlgn="auto" latinLnBrk="0" hangingPunct="1">
                <a:lnSpc>
                  <a:spcPct val="100000"/>
                </a:lnSpc>
                <a:spcBef>
                  <a:spcPts val="0"/>
                </a:spcBef>
                <a:spcAft>
                  <a:spcPts val="0"/>
                </a:spcAft>
                <a:buClrTx/>
                <a:buSzTx/>
                <a:buFontTx/>
                <a:buNone/>
                <a:tabLst/>
                <a:defRPr/>
              </a:pPr>
              <a:endParaRPr lang="en-GB" sz="1600" b="0" i="1"/>
            </a:p>
            <a:p>
              <a:pPr marL="0" marR="0" lvl="0" indent="0" algn="l" defTabSz="914400" eaLnBrk="1" fontAlgn="auto" latinLnBrk="0" hangingPunct="1">
                <a:lnSpc>
                  <a:spcPct val="100000"/>
                </a:lnSpc>
                <a:spcBef>
                  <a:spcPts val="0"/>
                </a:spcBef>
                <a:spcAft>
                  <a:spcPts val="0"/>
                </a:spcAft>
                <a:buClrTx/>
                <a:buSzTx/>
                <a:buFontTx/>
                <a:buNone/>
                <a:tabLst/>
                <a:defRPr/>
              </a:pPr>
              <a:r>
                <a:rPr lang="en-GB" sz="1600" b="0" i="0">
                  <a:latin typeface="Cambria Math" panose="02040503050406030204" pitchFamily="18" charset="0"/>
                </a:rPr>
                <a:t> </a:t>
              </a:r>
              <a:r>
                <a:rPr lang="en-US" sz="1600" i="0">
                  <a:latin typeface="Cambria Math" panose="02040503050406030204" pitchFamily="18" charset="0"/>
                </a:rPr>
                <a:t> (𝜕</a:t>
              </a:r>
              <a:r>
                <a:rPr lang="en-GB" sz="1600" b="0" i="0">
                  <a:latin typeface="Cambria Math" panose="02040503050406030204" pitchFamily="18" charset="0"/>
                </a:rPr>
                <a:t>𝑎_𝑙</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a:t>
              </a:r>
              <a:r>
                <a:rPr lang="en-US" sz="1600" b="0" i="0">
                  <a:latin typeface="Cambria Math" panose="02040503050406030204" pitchFamily="18" charset="0"/>
                </a:rPr>
                <a:t>_</a:t>
              </a:r>
              <a:r>
                <a:rPr lang="en-GB" sz="1600" b="0" i="0">
                  <a:latin typeface="Cambria Math" panose="02040503050406030204" pitchFamily="18" charset="0"/>
                </a:rPr>
                <a:t>𝑙 </a:t>
              </a:r>
              <a:r>
                <a:rPr lang="en-US" sz="1600" b="0" i="0">
                  <a:latin typeface="Cambria Math" panose="02040503050406030204" pitchFamily="18" charset="0"/>
                </a:rPr>
                <a:t>)</a:t>
              </a:r>
              <a:r>
                <a:rPr lang="en-GB" sz="1600" b="0" i="0">
                  <a:latin typeface="Cambria Math" panose="02040503050406030204" pitchFamily="18" charset="0"/>
                </a:rPr>
                <a:t>=</a:t>
              </a:r>
              <a:r>
                <a:rPr lang="en-US" sz="1600" i="0">
                  <a:latin typeface="Cambria Math" panose="02040503050406030204" pitchFamily="18" charset="0"/>
                </a:rPr>
                <a:t>𝜕</a:t>
              </a:r>
              <a:r>
                <a:rPr lang="el-GR" sz="1600" b="0" i="0">
                  <a:latin typeface="Cambria Math" panose="02040503050406030204" pitchFamily="18" charset="0"/>
                  <a:ea typeface="Cambria Math" panose="02040503050406030204" pitchFamily="18" charset="0"/>
                </a:rPr>
                <a:t>Λ</a:t>
              </a:r>
              <a:r>
                <a:rPr lang="en-GB" sz="1600" b="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rPr>
                <a:t>𝑧_𝑙 )</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a:t>
              </a:r>
              <a:r>
                <a:rPr lang="en-US" sz="1600" b="0" i="0">
                  <a:latin typeface="Cambria Math" panose="02040503050406030204" pitchFamily="18" charset="0"/>
                </a:rPr>
                <a:t>_</a:t>
              </a:r>
              <a:r>
                <a:rPr lang="en-GB" sz="1600" b="0" i="0">
                  <a:latin typeface="Cambria Math" panose="02040503050406030204" pitchFamily="18" charset="0"/>
                </a:rPr>
                <a:t>𝑙 </a:t>
              </a:r>
              <a:r>
                <a:rPr lang="en-US" sz="1600" b="0" i="0">
                  <a:latin typeface="Cambria Math" panose="02040503050406030204" pitchFamily="18" charset="0"/>
                </a:rPr>
                <a:t>)</a:t>
              </a:r>
              <a:r>
                <a:rPr lang="en-GB" sz="1600" b="0" i="0">
                  <a:latin typeface="Cambria Math" panose="02040503050406030204" pitchFamily="18" charset="0"/>
                </a:rPr>
                <a:t>=</a:t>
              </a:r>
              <a:r>
                <a:rPr lang="en-US" sz="1600" b="0" i="0">
                  <a:latin typeface="Cambria Math" panose="02040503050406030204" pitchFamily="18" charset="0"/>
                  <a:ea typeface="Cambria Math" panose="02040503050406030204" pitchFamily="18" charset="0"/>
                </a:rPr>
                <a:t>[</a:t>
              </a:r>
              <a:r>
                <a:rPr lang="el-GR" sz="1600" b="0" i="0">
                  <a:latin typeface="Cambria Math" panose="02040503050406030204" pitchFamily="18" charset="0"/>
                  <a:ea typeface="Cambria Math" panose="02040503050406030204" pitchFamily="18" charset="0"/>
                </a:rPr>
                <a:t>Λ</a:t>
              </a:r>
              <a:r>
                <a:rPr lang="en-GB" sz="1600" b="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rPr>
                <a:t>𝑧_𝑙 )</a:t>
              </a:r>
              <a:r>
                <a:rPr lang="en-GB" sz="1600" b="0" i="0">
                  <a:latin typeface="Cambria Math" panose="02040503050406030204" pitchFamily="18" charset="0"/>
                  <a:ea typeface="Cambria Math" panose="02040503050406030204" pitchFamily="18" charset="0"/>
                </a:rPr>
                <a:t>×[1−</a:t>
              </a:r>
              <a:r>
                <a:rPr lang="el-GR" sz="1600" b="0" i="0">
                  <a:latin typeface="Cambria Math" panose="02040503050406030204" pitchFamily="18" charset="0"/>
                  <a:ea typeface="Cambria Math" panose="02040503050406030204" pitchFamily="18" charset="0"/>
                </a:rPr>
                <a:t>Λ</a:t>
              </a:r>
              <a:r>
                <a:rPr lang="en-GB" sz="1600" b="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rPr>
                <a:t>𝑧_𝑙 )]]</a:t>
              </a:r>
              <a:endParaRPr lang="en-GB" sz="1600" b="0" i="1">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600" b="0" i="1">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GB" sz="1600" b="0" i="0" u="sng">
                  <a:latin typeface="Cambria Math" panose="02040503050406030204" pitchFamily="18" charset="0"/>
                </a:rPr>
                <a:t>"Tanh:</a:t>
              </a:r>
              <a:r>
                <a:rPr lang="en-US" sz="1600" b="0" i="0" u="sng"/>
                <a:t>"</a:t>
              </a:r>
              <a:r>
                <a:rPr lang="en-GB" sz="1600" b="0" i="1" u="sng"/>
                <a:t> </a:t>
              </a:r>
            </a:p>
            <a:p>
              <a:pPr marL="0" marR="0" lvl="0" indent="0" algn="l" defTabSz="914400" eaLnBrk="1" fontAlgn="auto" latinLnBrk="0" hangingPunct="1">
                <a:lnSpc>
                  <a:spcPct val="100000"/>
                </a:lnSpc>
                <a:spcBef>
                  <a:spcPts val="0"/>
                </a:spcBef>
                <a:spcAft>
                  <a:spcPts val="0"/>
                </a:spcAft>
                <a:buClrTx/>
                <a:buSzTx/>
                <a:buFontTx/>
                <a:buNone/>
                <a:tabLst/>
                <a:defRPr/>
              </a:pPr>
              <a:r>
                <a:rPr lang="en-US" sz="1600" i="0">
                  <a:latin typeface="Cambria Math" panose="02040503050406030204" pitchFamily="18" charset="0"/>
                </a:rPr>
                <a:t>(𝜕</a:t>
              </a:r>
              <a:r>
                <a:rPr lang="en-GB" sz="1600" b="0" i="0">
                  <a:latin typeface="Cambria Math" panose="02040503050406030204" pitchFamily="18" charset="0"/>
                </a:rPr>
                <a:t>𝑎_𝑙</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𝑧_𝑙 </a:t>
              </a:r>
              <a:r>
                <a:rPr lang="en-US" sz="1600" b="0" i="0">
                  <a:latin typeface="Cambria Math" panose="02040503050406030204" pitchFamily="18" charset="0"/>
                </a:rPr>
                <a:t>)</a:t>
              </a:r>
              <a:r>
                <a:rPr lang="en-GB"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ea typeface="Cambria Math" panose="02040503050406030204" pitchFamily="18" charset="0"/>
                </a:rPr>
                <a:t> tanh⁡(</a:t>
              </a:r>
              <a:r>
                <a:rPr lang="en-GB" sz="1600" b="0" i="0">
                  <a:latin typeface="Cambria Math" panose="02040503050406030204" pitchFamily="18" charset="0"/>
                </a:rPr>
                <a:t>𝑧_𝑙 )</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𝑧_𝑙 </a:t>
              </a:r>
              <a:r>
                <a:rPr lang="en-US" sz="1600" b="0" i="0">
                  <a:latin typeface="Cambria Math" panose="02040503050406030204" pitchFamily="18" charset="0"/>
                </a:rPr>
                <a:t>)</a:t>
              </a:r>
              <a:r>
                <a:rPr lang="en-GB" sz="1600" b="0" i="0">
                  <a:latin typeface="Cambria Math" panose="02040503050406030204" pitchFamily="18" charset="0"/>
                </a:rPr>
                <a:t>=</a:t>
              </a:r>
              <a:r>
                <a:rPr lang="en-GB" sz="1600" b="0" i="0">
                  <a:latin typeface="Cambria Math" panose="02040503050406030204" pitchFamily="18" charset="0"/>
                  <a:ea typeface="Cambria Math" panose="02040503050406030204" pitchFamily="18" charset="0"/>
                </a:rPr>
                <a:t>1−tanh^2⁡(</a:t>
              </a:r>
              <a:r>
                <a:rPr lang="en-GB" sz="1600" b="0" i="0">
                  <a:latin typeface="Cambria Math" panose="02040503050406030204" pitchFamily="18" charset="0"/>
                </a:rPr>
                <a:t>𝑧_𝑙 )</a:t>
              </a:r>
              <a:endParaRPr lang="en-GB" sz="1600" b="0" i="1"/>
            </a:p>
            <a:p>
              <a:pPr marL="0" marR="0" lvl="0" indent="0" algn="l" defTabSz="914400" eaLnBrk="1" fontAlgn="auto" latinLnBrk="0" hangingPunct="1">
                <a:lnSpc>
                  <a:spcPct val="100000"/>
                </a:lnSpc>
                <a:spcBef>
                  <a:spcPts val="0"/>
                </a:spcBef>
                <a:spcAft>
                  <a:spcPts val="0"/>
                </a:spcAft>
                <a:buClrTx/>
                <a:buSzTx/>
                <a:buFontTx/>
                <a:buNone/>
                <a:tabLst/>
                <a:defRPr/>
              </a:pPr>
              <a:endParaRPr lang="en-GB" sz="1600"/>
            </a:p>
            <a:p>
              <a:pPr marL="0" marR="0" lvl="0" indent="0" algn="l" defTabSz="914400" eaLnBrk="1" fontAlgn="auto" latinLnBrk="0" hangingPunct="1">
                <a:lnSpc>
                  <a:spcPct val="100000"/>
                </a:lnSpc>
                <a:spcBef>
                  <a:spcPts val="0"/>
                </a:spcBef>
                <a:spcAft>
                  <a:spcPts val="0"/>
                </a:spcAft>
                <a:buClrTx/>
                <a:buSzTx/>
                <a:buFontTx/>
                <a:buNone/>
                <a:tabLst/>
                <a:defRPr/>
              </a:pPr>
              <a:r>
                <a:rPr lang="en-GB" sz="1600" b="0" i="0" u="sng">
                  <a:latin typeface="Cambria Math" panose="02040503050406030204" pitchFamily="18" charset="0"/>
                </a:rPr>
                <a:t>"Leaky ReLU:</a:t>
              </a:r>
              <a:r>
                <a:rPr lang="en-US" sz="1600" b="0" i="0" u="sng"/>
                <a:t>"</a:t>
              </a:r>
              <a:endParaRPr lang="en-GB" sz="1600" u="sng"/>
            </a:p>
            <a:p>
              <a:pPr marL="0" marR="0" lvl="0" indent="0" algn="l" defTabSz="914400" eaLnBrk="1" fontAlgn="auto" latinLnBrk="0" hangingPunct="1">
                <a:lnSpc>
                  <a:spcPct val="100000"/>
                </a:lnSpc>
                <a:spcBef>
                  <a:spcPts val="0"/>
                </a:spcBef>
                <a:spcAft>
                  <a:spcPts val="0"/>
                </a:spcAft>
                <a:buClrTx/>
                <a:buSzTx/>
                <a:buFontTx/>
                <a:buNone/>
                <a:tabLst/>
                <a:defRPr/>
              </a:pPr>
              <a:r>
                <a:rPr lang="en-US" sz="1600" i="0">
                  <a:latin typeface="Cambria Math" panose="02040503050406030204" pitchFamily="18" charset="0"/>
                </a:rPr>
                <a:t>(𝜕</a:t>
              </a:r>
              <a:r>
                <a:rPr lang="en-GB" sz="1600" b="0" i="0">
                  <a:latin typeface="Cambria Math" panose="02040503050406030204" pitchFamily="18" charset="0"/>
                </a:rPr>
                <a:t>𝑎_𝑙</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𝑧_𝑙 </a:t>
              </a:r>
              <a:r>
                <a:rPr lang="en-US" sz="1600" b="0" i="0">
                  <a:latin typeface="Cambria Math" panose="02040503050406030204" pitchFamily="18" charset="0"/>
                </a:rPr>
                <a:t>)</a:t>
              </a:r>
              <a:r>
                <a:rPr lang="en-GB" sz="1600" b="0" i="0">
                  <a:latin typeface="Cambria Math" panose="02040503050406030204" pitchFamily="18" charset="0"/>
                </a:rPr>
                <a:t>={█(1,        𝑥</a:t>
              </a:r>
              <a:r>
                <a:rPr lang="en-GB" sz="1600" b="0" i="0">
                  <a:latin typeface="Cambria Math" panose="02040503050406030204" pitchFamily="18" charset="0"/>
                  <a:ea typeface="Cambria Math" panose="02040503050406030204" pitchFamily="18" charset="0"/>
                </a:rPr>
                <a:t>&gt;</a:t>
              </a:r>
              <a:r>
                <a:rPr lang="en-GB" sz="1600" b="0" i="0">
                  <a:latin typeface="Cambria Math" panose="02040503050406030204" pitchFamily="18" charset="0"/>
                </a:rPr>
                <a:t>0@&amp;0.01,  𝑥</a:t>
              </a:r>
              <a:r>
                <a:rPr lang="en-GB" sz="1600" b="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rPr>
                <a:t>0)┤</a:t>
              </a:r>
              <a:endParaRPr lang="en-GB" sz="1600" b="0" i="1">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GB" sz="1600" b="0" i="1">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GB" sz="1600" b="0" i="0" u="sng">
                  <a:latin typeface="Cambria Math" panose="02040503050406030204" pitchFamily="18" charset="0"/>
                </a:rPr>
                <a:t>"Exponential:</a:t>
              </a:r>
              <a:r>
                <a:rPr lang="en-US" sz="1600" b="0" i="0" u="sng"/>
                <a:t>"</a:t>
              </a:r>
              <a:endParaRPr lang="en-GB" sz="1600"/>
            </a:p>
            <a:p>
              <a:pPr marL="0" marR="0" lvl="0" indent="0" algn="l" defTabSz="914400" eaLnBrk="1" fontAlgn="auto" latinLnBrk="0" hangingPunct="1">
                <a:lnSpc>
                  <a:spcPct val="100000"/>
                </a:lnSpc>
                <a:spcBef>
                  <a:spcPts val="0"/>
                </a:spcBef>
                <a:spcAft>
                  <a:spcPts val="0"/>
                </a:spcAft>
                <a:buClrTx/>
                <a:buSzTx/>
                <a:buFontTx/>
                <a:buNone/>
                <a:tabLst/>
                <a:defRPr/>
              </a:pPr>
              <a:r>
                <a:rPr lang="en-US" sz="1600" i="0">
                  <a:latin typeface="Cambria Math" panose="02040503050406030204" pitchFamily="18" charset="0"/>
                </a:rPr>
                <a:t>(𝜕</a:t>
              </a:r>
              <a:r>
                <a:rPr lang="en-GB" sz="1600" b="0" i="0">
                  <a:latin typeface="Cambria Math" panose="02040503050406030204" pitchFamily="18" charset="0"/>
                </a:rPr>
                <a:t>𝑎_𝑙</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𝑧_𝑙 </a:t>
              </a:r>
              <a:r>
                <a:rPr lang="en-US" sz="1600" b="0" i="0">
                  <a:latin typeface="Cambria Math" panose="02040503050406030204" pitchFamily="18" charset="0"/>
                </a:rPr>
                <a:t>)</a:t>
              </a:r>
              <a:r>
                <a:rPr lang="en-GB"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𝑒^(𝑧_𝑙 )</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𝑧_𝑙 </a:t>
              </a:r>
              <a:r>
                <a:rPr lang="en-US" sz="1600" b="0" i="0">
                  <a:latin typeface="Cambria Math" panose="02040503050406030204" pitchFamily="18" charset="0"/>
                </a:rPr>
                <a:t>)</a:t>
              </a:r>
              <a:r>
                <a:rPr lang="en-GB" sz="1600" b="0" i="0">
                  <a:latin typeface="Cambria Math" panose="02040503050406030204" pitchFamily="18" charset="0"/>
                </a:rPr>
                <a:t>=〖𝑧_𝑙 𝑒〗^(𝑧_𝑙 )</a:t>
              </a:r>
              <a:endParaRPr lang="en-GB" sz="1600" b="0" i="1">
                <a:latin typeface="Cambria Math" panose="02040503050406030204" pitchFamily="18" charset="0"/>
              </a:endParaRPr>
            </a:p>
          </xdr:txBody>
        </xdr:sp>
      </mc:Fallback>
    </mc:AlternateContent>
    <xdr:clientData/>
  </xdr:oneCellAnchor>
  <xdr:oneCellAnchor>
    <xdr:from>
      <xdr:col>59</xdr:col>
      <xdr:colOff>142098</xdr:colOff>
      <xdr:row>49</xdr:row>
      <xdr:rowOff>53287</xdr:rowOff>
    </xdr:from>
    <xdr:ext cx="5244124" cy="1987916"/>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28002168" y="10195525"/>
              <a:ext cx="5244124" cy="19879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14:m>
                <m:oMathPara xmlns:m="http://schemas.openxmlformats.org/officeDocument/2006/math">
                  <m:oMathParaPr>
                    <m:jc m:val="left"/>
                  </m:oMathParaPr>
                  <m:oMath xmlns:m="http://schemas.openxmlformats.org/officeDocument/2006/math">
                    <m:f>
                      <m:fPr>
                        <m:ctrlPr>
                          <a:rPr lang="en-US" sz="1600" i="1">
                            <a:latin typeface="Cambria Math" panose="02040503050406030204" pitchFamily="18" charset="0"/>
                          </a:rPr>
                        </m:ctrlPr>
                      </m:fPr>
                      <m:num>
                        <m:r>
                          <a:rPr lang="en-US" sz="1600" i="1">
                            <a:latin typeface="Cambria Math" panose="02040503050406030204" pitchFamily="18" charset="0"/>
                          </a:rPr>
                          <m:t>𝜕</m:t>
                        </m:r>
                        <m:r>
                          <a:rPr lang="en-GB" sz="1600" b="0" i="1">
                            <a:latin typeface="Cambria Math" panose="02040503050406030204" pitchFamily="18" charset="0"/>
                          </a:rPr>
                          <m:t>𝑀𝑆𝐸</m:t>
                        </m:r>
                      </m:num>
                      <m:den>
                        <m:r>
                          <a:rPr lang="en-US" sz="1600" i="1">
                            <a:latin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ea typeface="Cambria Math" panose="02040503050406030204" pitchFamily="18" charset="0"/>
                              </a:rPr>
                              <m:t>𝜃</m:t>
                            </m:r>
                          </m:e>
                          <m:sub>
                            <m:r>
                              <a:rPr lang="en-GB" sz="1600" b="0" i="1">
                                <a:latin typeface="Cambria Math" panose="02040503050406030204" pitchFamily="18" charset="0"/>
                                <a:ea typeface="Cambria Math" panose="02040503050406030204" pitchFamily="18" charset="0"/>
                              </a:rPr>
                              <m:t>1</m:t>
                            </m:r>
                          </m:sub>
                        </m:sSub>
                      </m:den>
                    </m:f>
                    <m:r>
                      <a:rPr lang="en-GB" sz="1600" b="0" i="1">
                        <a:latin typeface="Cambria Math" panose="02040503050406030204" pitchFamily="18" charset="0"/>
                      </a:rPr>
                      <m:t>=</m:t>
                    </m:r>
                    <m:f>
                      <m:fPr>
                        <m:ctrlPr>
                          <a:rPr lang="en-US" sz="1600" i="1">
                            <a:latin typeface="Cambria Math" panose="02040503050406030204" pitchFamily="18" charset="0"/>
                          </a:rPr>
                        </m:ctrlPr>
                      </m:fPr>
                      <m:num>
                        <m:r>
                          <a:rPr lang="en-GB" sz="1600" b="0" i="1">
                            <a:latin typeface="Cambria Math" panose="02040503050406030204" pitchFamily="18" charset="0"/>
                          </a:rPr>
                          <m:t>1</m:t>
                        </m:r>
                      </m:num>
                      <m:den>
                        <m:r>
                          <a:rPr lang="en-GB" sz="1600" b="0" i="1">
                            <a:latin typeface="Cambria Math" panose="02040503050406030204" pitchFamily="18" charset="0"/>
                          </a:rPr>
                          <m:t>𝑚</m:t>
                        </m:r>
                      </m:den>
                    </m:f>
                    <m:r>
                      <a:rPr lang="en-US" sz="1600" b="0" i="1">
                        <a:latin typeface="Cambria Math" panose="02040503050406030204" pitchFamily="18" charset="0"/>
                        <a:ea typeface="Cambria Math" panose="02040503050406030204" pitchFamily="18" charset="0"/>
                      </a:rPr>
                      <m:t>×</m:t>
                    </m:r>
                    <m:f>
                      <m:fPr>
                        <m:ctrlPr>
                          <a:rPr lang="en-US" sz="1600" i="1">
                            <a:latin typeface="Cambria Math" panose="02040503050406030204" pitchFamily="18" charset="0"/>
                          </a:rPr>
                        </m:ctrlPr>
                      </m:fPr>
                      <m:num>
                        <m:r>
                          <a:rPr lang="en-US" sz="1600" i="1">
                            <a:latin typeface="Cambria Math" panose="02040503050406030204" pitchFamily="18" charset="0"/>
                          </a:rPr>
                          <m:t>𝜕</m:t>
                        </m:r>
                        <m:nary>
                          <m:naryPr>
                            <m:chr m:val="∑"/>
                            <m:subHide m:val="on"/>
                            <m:supHide m:val="on"/>
                            <m:ctrlPr>
                              <a:rPr lang="en-US" sz="1600" i="1">
                                <a:latin typeface="Cambria Math" panose="02040503050406030204" pitchFamily="18" charset="0"/>
                              </a:rPr>
                            </m:ctrlPr>
                          </m:naryPr>
                          <m:sub/>
                          <m:sup/>
                          <m:e>
                            <m:sSup>
                              <m:sSupPr>
                                <m:ctrlPr>
                                  <a:rPr lang="en-US" sz="1600" i="1">
                                    <a:latin typeface="Cambria Math" panose="02040503050406030204" pitchFamily="18" charset="0"/>
                                  </a:rPr>
                                </m:ctrlPr>
                              </m:sSupPr>
                              <m:e>
                                <m:r>
                                  <a:rPr lang="en-US" sz="1600" i="1">
                                    <a:latin typeface="Cambria Math" panose="02040503050406030204" pitchFamily="18" charset="0"/>
                                  </a:rPr>
                                  <m:t>𝜀</m:t>
                                </m:r>
                              </m:e>
                              <m:sup>
                                <m:r>
                                  <a:rPr lang="en-GB" sz="1600" b="0" i="1">
                                    <a:latin typeface="Cambria Math" panose="02040503050406030204" pitchFamily="18" charset="0"/>
                                  </a:rPr>
                                  <m:t>2</m:t>
                                </m:r>
                              </m:sup>
                            </m:sSup>
                          </m:e>
                        </m:nary>
                      </m:num>
                      <m:den>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3</m:t>
                            </m:r>
                          </m:sub>
                        </m:sSub>
                      </m:den>
                    </m:f>
                    <m:r>
                      <a:rPr lang="en-US" sz="1600" b="0" i="1">
                        <a:latin typeface="Cambria Math" panose="02040503050406030204" pitchFamily="18" charset="0"/>
                        <a:ea typeface="Cambria Math" panose="02040503050406030204" pitchFamily="18" charset="0"/>
                      </a:rPr>
                      <m:t>×</m:t>
                    </m:r>
                    <m:f>
                      <m:fPr>
                        <m:ctrlPr>
                          <a:rPr lang="en-US" sz="1600" i="1">
                            <a:latin typeface="Cambria Math" panose="02040503050406030204" pitchFamily="18" charset="0"/>
                          </a:rPr>
                        </m:ctrlPr>
                      </m:fPr>
                      <m:num>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3</m:t>
                            </m:r>
                          </m:sub>
                        </m:sSub>
                      </m:num>
                      <m:den>
                        <m:r>
                          <a:rPr lang="en-US" sz="1600" i="1">
                            <a:latin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2</m:t>
                            </m:r>
                          </m:sub>
                        </m:sSub>
                      </m:den>
                    </m:f>
                    <m:r>
                      <a:rPr lang="en-GB" sz="1600" b="0" i="1">
                        <a:latin typeface="Cambria Math" panose="02040503050406030204" pitchFamily="18" charset="0"/>
                        <a:ea typeface="Cambria Math" panose="02040503050406030204" pitchFamily="18" charset="0"/>
                      </a:rPr>
                      <m:t>×</m:t>
                    </m:r>
                    <m:f>
                      <m:fPr>
                        <m:ctrlPr>
                          <a:rPr lang="en-US" sz="1600" i="1">
                            <a:latin typeface="Cambria Math" panose="02040503050406030204" pitchFamily="18" charset="0"/>
                          </a:rPr>
                        </m:ctrlPr>
                      </m:fPr>
                      <m:num>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2</m:t>
                            </m:r>
                          </m:sub>
                        </m:sSub>
                      </m:num>
                      <m:den>
                        <m:r>
                          <a:rPr lang="en-US" sz="1600" i="1">
                            <a:latin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2</m:t>
                            </m:r>
                          </m:sub>
                        </m:sSub>
                      </m:den>
                    </m:f>
                    <m:r>
                      <a:rPr lang="en-US" sz="1600" i="1">
                        <a:latin typeface="Cambria Math" panose="02040503050406030204" pitchFamily="18" charset="0"/>
                        <a:ea typeface="Cambria Math" panose="02040503050406030204" pitchFamily="18" charset="0"/>
                      </a:rPr>
                      <m:t>×</m:t>
                    </m:r>
                    <m:f>
                      <m:fPr>
                        <m:ctrlPr>
                          <a:rPr lang="en-US" sz="1600" i="1">
                            <a:latin typeface="Cambria Math" panose="02040503050406030204" pitchFamily="18" charset="0"/>
                          </a:rPr>
                        </m:ctrlPr>
                      </m:fPr>
                      <m:num>
                        <m:r>
                          <a:rPr lang="en-US" sz="1600" i="1">
                            <a:latin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2</m:t>
                            </m:r>
                          </m:sub>
                        </m:sSub>
                      </m:num>
                      <m:den>
                        <m:r>
                          <a:rPr lang="en-US" sz="1600" i="1">
                            <a:latin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ea typeface="Cambria Math" panose="02040503050406030204" pitchFamily="18" charset="0"/>
                              </a:rPr>
                              <m:t>𝜃</m:t>
                            </m:r>
                          </m:e>
                          <m:sub>
                            <m:r>
                              <a:rPr lang="en-GB" sz="1600" b="0" i="1">
                                <a:latin typeface="Cambria Math" panose="02040503050406030204" pitchFamily="18" charset="0"/>
                              </a:rPr>
                              <m:t>1</m:t>
                            </m:r>
                          </m:sub>
                        </m:sSub>
                      </m:den>
                    </m:f>
                  </m:oMath>
                </m:oMathPara>
              </a14:m>
              <a:endParaRPr lang="en-GB" sz="1600" b="0" i="1">
                <a:latin typeface="Cambria Math" panose="02040503050406030204" pitchFamily="18" charset="0"/>
              </a:endParaRPr>
            </a:p>
            <a:p>
              <a:pPr algn="l"/>
              <a:endParaRPr lang="en-GB" sz="1600" b="0" i="1">
                <a:latin typeface="Cambria Math" panose="02040503050406030204" pitchFamily="18" charset="0"/>
              </a:endParaRPr>
            </a:p>
            <a:p>
              <a:pPr algn="l"/>
              <a14:m>
                <m:oMathPara xmlns:m="http://schemas.openxmlformats.org/officeDocument/2006/math">
                  <m:oMathParaPr>
                    <m:jc m:val="left"/>
                  </m:oMathParaPr>
                  <m:oMath xmlns:m="http://schemas.openxmlformats.org/officeDocument/2006/math">
                    <m:r>
                      <a:rPr lang="en-GB" sz="1600" b="0" i="1">
                        <a:latin typeface="Cambria Math" panose="02040503050406030204" pitchFamily="18" charset="0"/>
                      </a:rPr>
                      <m:t>=</m:t>
                    </m:r>
                    <m:f>
                      <m:fPr>
                        <m:ctrlPr>
                          <a:rPr lang="en-US" sz="1600" i="1">
                            <a:latin typeface="Cambria Math" panose="02040503050406030204" pitchFamily="18" charset="0"/>
                          </a:rPr>
                        </m:ctrlPr>
                      </m:fPr>
                      <m:num>
                        <m:r>
                          <a:rPr lang="en-GB" sz="1600" b="0" i="1">
                            <a:latin typeface="Cambria Math" panose="02040503050406030204" pitchFamily="18" charset="0"/>
                          </a:rPr>
                          <m:t>1</m:t>
                        </m:r>
                      </m:num>
                      <m:den>
                        <m:r>
                          <a:rPr lang="en-GB" sz="1600" b="0" i="1">
                            <a:latin typeface="Cambria Math" panose="02040503050406030204" pitchFamily="18" charset="0"/>
                          </a:rPr>
                          <m:t>𝑚</m:t>
                        </m:r>
                      </m:den>
                    </m:f>
                    <m:r>
                      <a:rPr lang="en-US" sz="1600" b="0" i="1">
                        <a:latin typeface="Cambria Math" panose="02040503050406030204" pitchFamily="18" charset="0"/>
                        <a:ea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𝑑</m:t>
                        </m:r>
                      </m:e>
                      <m:sub>
                        <m:r>
                          <a:rPr lang="en-GB" sz="1600" b="0" i="1">
                            <a:latin typeface="Cambria Math" panose="02040503050406030204" pitchFamily="18" charset="0"/>
                          </a:rPr>
                          <m:t>3</m:t>
                        </m:r>
                      </m:sub>
                    </m:sSub>
                    <m:r>
                      <a:rPr lang="en-US" sz="1600" b="0" i="1">
                        <a:latin typeface="Cambria Math" panose="02040503050406030204" pitchFamily="18" charset="0"/>
                        <a:ea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ea typeface="Cambria Math" panose="02040503050406030204" pitchFamily="18" charset="0"/>
                          </a:rPr>
                          <m:t>𝜃</m:t>
                        </m:r>
                      </m:e>
                      <m:sub>
                        <m:r>
                          <a:rPr lang="en-GB" sz="1600" b="0" i="1">
                            <a:latin typeface="Cambria Math" panose="02040503050406030204" pitchFamily="18" charset="0"/>
                            <a:ea typeface="Cambria Math" panose="02040503050406030204" pitchFamily="18" charset="0"/>
                          </a:rPr>
                          <m:t>2</m:t>
                        </m:r>
                      </m:sub>
                    </m:sSub>
                    <m:r>
                      <a:rPr lang="en-GB" sz="1600" b="0" i="1">
                        <a:latin typeface="Cambria Math" panose="02040503050406030204" pitchFamily="18" charset="0"/>
                        <a:ea typeface="Cambria Math" panose="02040503050406030204" pitchFamily="18" charset="0"/>
                      </a:rPr>
                      <m:t>×</m:t>
                    </m:r>
                    <m:f>
                      <m:fPr>
                        <m:ctrlPr>
                          <a:rPr lang="en-US" sz="1600" i="1">
                            <a:latin typeface="Cambria Math" panose="02040503050406030204" pitchFamily="18" charset="0"/>
                          </a:rPr>
                        </m:ctrlPr>
                      </m:fPr>
                      <m:num>
                        <m:r>
                          <a:rPr lang="en-US" sz="1600" i="1">
                            <a:latin typeface="Cambria Math" panose="02040503050406030204" pitchFamily="18" charset="0"/>
                          </a:rPr>
                          <m:t>𝜕</m:t>
                        </m:r>
                        <m:sSub>
                          <m:sSubPr>
                            <m:ctrlPr>
                              <a:rPr lang="en-GB" sz="1600" b="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2</m:t>
                            </m:r>
                          </m:sub>
                        </m:sSub>
                      </m:num>
                      <m:den>
                        <m:r>
                          <a:rPr lang="en-US" sz="1600" i="1">
                            <a:latin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rPr>
                              <m:t>𝑧</m:t>
                            </m:r>
                          </m:e>
                          <m:sub>
                            <m:r>
                              <a:rPr lang="en-GB" sz="1600" b="0" i="1">
                                <a:latin typeface="Cambria Math" panose="02040503050406030204" pitchFamily="18" charset="0"/>
                              </a:rPr>
                              <m:t>2</m:t>
                            </m:r>
                          </m:sub>
                        </m:sSub>
                      </m:den>
                    </m:f>
                    <m:r>
                      <a:rPr lang="en-US" sz="1600" i="1">
                        <a:latin typeface="Cambria Math" panose="02040503050406030204" pitchFamily="18" charset="0"/>
                        <a:ea typeface="Cambria Math" panose="02040503050406030204" pitchFamily="18" charset="0"/>
                      </a:rPr>
                      <m:t>×</m:t>
                    </m:r>
                    <m:sSub>
                      <m:sSubPr>
                        <m:ctrlPr>
                          <a:rPr lang="en-US" sz="1600" i="1">
                            <a:latin typeface="Cambria Math" panose="02040503050406030204" pitchFamily="18" charset="0"/>
                          </a:rPr>
                        </m:ctrlPr>
                      </m:sSubPr>
                      <m:e>
                        <m:r>
                          <a:rPr lang="en-GB" sz="1600" b="0" i="1">
                            <a:latin typeface="Cambria Math" panose="02040503050406030204" pitchFamily="18" charset="0"/>
                          </a:rPr>
                          <m:t>𝑎</m:t>
                        </m:r>
                      </m:e>
                      <m:sub>
                        <m:r>
                          <a:rPr lang="en-GB" sz="1600" b="0" i="1">
                            <a:latin typeface="Cambria Math" panose="02040503050406030204" pitchFamily="18" charset="0"/>
                          </a:rPr>
                          <m:t>1</m:t>
                        </m:r>
                      </m:sub>
                    </m:sSub>
                  </m:oMath>
                </m:oMathPara>
              </a14:m>
              <a:endParaRPr lang="en-GB" sz="1600" b="0" i="1">
                <a:latin typeface="Cambria Math" panose="02040503050406030204" pitchFamily="18" charset="0"/>
              </a:endParaRPr>
            </a:p>
            <a:p>
              <a:pPr algn="l"/>
              <a:endParaRPr lang="en-GB" sz="1600" b="0" i="1">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left"/>
                  </m:oMathParaPr>
                  <m:oMath xmlns:m="http://schemas.openxmlformats.org/officeDocument/2006/math">
                    <m:r>
                      <a:rPr lang="en-GB" sz="1600" b="0" i="1">
                        <a:latin typeface="Cambria Math" panose="02040503050406030204" pitchFamily="18" charset="0"/>
                      </a:rPr>
                      <m:t>=</m:t>
                    </m:r>
                    <m:f>
                      <m:fPr>
                        <m:ctrlPr>
                          <a:rPr lang="en-US" sz="1600" i="1">
                            <a:latin typeface="Cambria Math" panose="02040503050406030204" pitchFamily="18" charset="0"/>
                          </a:rPr>
                        </m:ctrlPr>
                      </m:fPr>
                      <m:num>
                        <m:r>
                          <a:rPr lang="en-GB" sz="1600" b="0" i="1">
                            <a:latin typeface="Cambria Math" panose="02040503050406030204" pitchFamily="18" charset="0"/>
                          </a:rPr>
                          <m:t>1</m:t>
                        </m:r>
                      </m:num>
                      <m:den>
                        <m:r>
                          <a:rPr lang="en-GB" sz="1600" b="0" i="1">
                            <a:latin typeface="Cambria Math" panose="02040503050406030204" pitchFamily="18" charset="0"/>
                          </a:rPr>
                          <m:t>𝑚</m:t>
                        </m:r>
                      </m:den>
                    </m:f>
                    <m:sSub>
                      <m:sSubPr>
                        <m:ctrlPr>
                          <a:rPr lang="en-GB" sz="1600" b="0" i="1">
                            <a:latin typeface="Cambria Math" panose="02040503050406030204" pitchFamily="18" charset="0"/>
                          </a:rPr>
                        </m:ctrlPr>
                      </m:sSubPr>
                      <m:e>
                        <m:r>
                          <a:rPr lang="en-GB" sz="1600" b="0" i="1">
                            <a:latin typeface="Cambria Math" panose="02040503050406030204" pitchFamily="18" charset="0"/>
                          </a:rPr>
                          <m:t>𝑑</m:t>
                        </m:r>
                      </m:e>
                      <m:sub>
                        <m:r>
                          <a:rPr lang="en-GB" sz="1600" b="0" i="1">
                            <a:latin typeface="Cambria Math" panose="02040503050406030204" pitchFamily="18" charset="0"/>
                          </a:rPr>
                          <m:t>2</m:t>
                        </m:r>
                      </m:sub>
                    </m:sSub>
                    <m:r>
                      <a:rPr lang="en-US" sz="1600" i="1">
                        <a:latin typeface="Cambria Math" panose="02040503050406030204" pitchFamily="18" charset="0"/>
                        <a:ea typeface="Cambria Math" panose="02040503050406030204" pitchFamily="18" charset="0"/>
                      </a:rPr>
                      <m:t>×</m:t>
                    </m:r>
                    <m:r>
                      <a:rPr lang="en-GB" sz="1600" i="1">
                        <a:latin typeface="Cambria Math" panose="02040503050406030204" pitchFamily="18" charset="0"/>
                      </a:rPr>
                      <m:t>1</m:t>
                    </m:r>
                  </m:oMath>
                </m:oMathPara>
              </a14:m>
              <a:endParaRPr lang="en-US" sz="1600"/>
            </a:p>
          </xdr:txBody>
        </xdr:sp>
      </mc:Choice>
      <mc:Fallback xmlns="">
        <xdr:sp macro="" textlink="">
          <xdr:nvSpPr>
            <xdr:cNvPr id="14" name="TextBox 13">
              <a:extLst>
                <a:ext uri="{FF2B5EF4-FFF2-40B4-BE49-F238E27FC236}">
                  <a16:creationId xmlns:a16="http://schemas.microsoft.com/office/drawing/2014/main" id="{F5A40EF8-A6E1-FB47-9F9E-A3F8450416DB}"/>
                </a:ext>
              </a:extLst>
            </xdr:cNvPr>
            <xdr:cNvSpPr txBox="1"/>
          </xdr:nvSpPr>
          <xdr:spPr>
            <a:xfrm>
              <a:off x="28002168" y="10195525"/>
              <a:ext cx="5244124" cy="19879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l"/>
              <a:r>
                <a:rPr lang="en-US" sz="1600" i="0">
                  <a:latin typeface="Cambria Math" panose="02040503050406030204" pitchFamily="18" charset="0"/>
                </a:rPr>
                <a:t>𝜕</a:t>
              </a:r>
              <a:r>
                <a:rPr lang="en-GB" sz="1600" b="0" i="0">
                  <a:latin typeface="Cambria Math" panose="02040503050406030204" pitchFamily="18" charset="0"/>
                </a:rPr>
                <a:t>𝑀𝑆𝐸</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ea typeface="Cambria Math" panose="02040503050406030204" pitchFamily="18" charset="0"/>
                </a:rPr>
                <a:t>𝜃</a:t>
              </a:r>
              <a:r>
                <a:rPr lang="en-US" sz="1600" b="0" i="0">
                  <a:latin typeface="Cambria Math" panose="02040503050406030204" pitchFamily="18" charset="0"/>
                  <a:ea typeface="Cambria Math" panose="02040503050406030204" pitchFamily="18" charset="0"/>
                </a:rPr>
                <a:t>_</a:t>
              </a:r>
              <a:r>
                <a:rPr lang="en-GB" sz="1600" b="0" i="0">
                  <a:latin typeface="Cambria Math" panose="02040503050406030204" pitchFamily="18" charset="0"/>
                  <a:ea typeface="Cambria Math" panose="02040503050406030204" pitchFamily="18" charset="0"/>
                </a:rPr>
                <a:t>1 </a:t>
              </a:r>
              <a:r>
                <a:rPr lang="en-US" sz="1600" b="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rPr>
                <a:t>=1</a:t>
              </a:r>
              <a:r>
                <a:rPr lang="en-US" sz="1600" b="0" i="0">
                  <a:latin typeface="Cambria Math" panose="02040503050406030204" pitchFamily="18" charset="0"/>
                </a:rPr>
                <a:t>/</a:t>
              </a:r>
              <a:r>
                <a:rPr lang="en-GB" sz="1600" b="0" i="0">
                  <a:latin typeface="Cambria Math" panose="02040503050406030204" pitchFamily="18" charset="0"/>
                </a:rPr>
                <a:t>𝑚</a:t>
              </a:r>
              <a:r>
                <a:rPr lang="en-US" sz="1600" b="0" i="0">
                  <a:latin typeface="Cambria Math" panose="02040503050406030204" pitchFamily="18" charset="0"/>
                  <a:ea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a:t>
              </a:r>
              <a:r>
                <a:rPr lang="en-US" sz="1600" i="0">
                  <a:latin typeface="Cambria Math" panose="02040503050406030204" pitchFamily="18" charset="0"/>
                </a:rPr>
                <a:t>𝜀^</a:t>
              </a:r>
              <a:r>
                <a:rPr lang="en-GB" sz="1600" b="0" i="0">
                  <a:latin typeface="Cambria Math" panose="02040503050406030204" pitchFamily="18" charset="0"/>
                </a:rPr>
                <a:t>2 </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𝑧_3 </a:t>
              </a:r>
              <a:r>
                <a:rPr lang="en-US" sz="1600" b="0" i="0">
                  <a:latin typeface="Cambria Math" panose="02040503050406030204" pitchFamily="18" charset="0"/>
                </a:rPr>
                <a:t>)</a:t>
              </a:r>
              <a:r>
                <a:rPr lang="en-US" sz="1600" b="0" i="0">
                  <a:latin typeface="Cambria Math" panose="02040503050406030204" pitchFamily="18" charset="0"/>
                  <a:ea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𝑧_3</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𝑎</a:t>
              </a:r>
              <a:r>
                <a:rPr lang="en-US" sz="1600" b="0" i="0">
                  <a:latin typeface="Cambria Math" panose="02040503050406030204" pitchFamily="18" charset="0"/>
                </a:rPr>
                <a:t>_</a:t>
              </a:r>
              <a:r>
                <a:rPr lang="en-GB" sz="1600" b="0" i="0">
                  <a:latin typeface="Cambria Math" panose="02040503050406030204" pitchFamily="18" charset="0"/>
                </a:rPr>
                <a:t>2 </a:t>
              </a:r>
              <a:r>
                <a:rPr lang="en-US" sz="1600" b="0" i="0">
                  <a:latin typeface="Cambria Math" panose="02040503050406030204" pitchFamily="18" charset="0"/>
                </a:rPr>
                <a:t>)</a:t>
              </a:r>
              <a:r>
                <a:rPr lang="en-GB" sz="1600" b="0" i="0">
                  <a:latin typeface="Cambria Math" panose="02040503050406030204" pitchFamily="18" charset="0"/>
                  <a:ea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𝑎_2</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a:t>
              </a:r>
              <a:r>
                <a:rPr lang="en-US" sz="1600" b="0" i="0">
                  <a:latin typeface="Cambria Math" panose="02040503050406030204" pitchFamily="18" charset="0"/>
                </a:rPr>
                <a:t>_</a:t>
              </a:r>
              <a:r>
                <a:rPr lang="en-GB" sz="1600" b="0" i="0">
                  <a:latin typeface="Cambria Math" panose="02040503050406030204" pitchFamily="18" charset="0"/>
                </a:rPr>
                <a:t>2 </a:t>
              </a:r>
              <a:r>
                <a:rPr lang="en-US" sz="1600" b="0" i="0">
                  <a:latin typeface="Cambria Math" panose="02040503050406030204" pitchFamily="18" charset="0"/>
                </a:rPr>
                <a:t>)</a:t>
              </a:r>
              <a:r>
                <a:rPr lang="en-US" sz="1600" i="0">
                  <a:latin typeface="Cambria Math" panose="02040503050406030204" pitchFamily="18" charset="0"/>
                  <a:ea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a:t>
              </a:r>
              <a:r>
                <a:rPr lang="en-US" sz="1600" b="0" i="0">
                  <a:latin typeface="Cambria Math" panose="02040503050406030204" pitchFamily="18" charset="0"/>
                </a:rPr>
                <a:t>_</a:t>
              </a:r>
              <a:r>
                <a:rPr lang="en-GB" sz="1600" b="0" i="0">
                  <a:latin typeface="Cambria Math" panose="02040503050406030204" pitchFamily="18" charset="0"/>
                </a:rPr>
                <a:t>2</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ea typeface="Cambria Math" panose="02040503050406030204" pitchFamily="18" charset="0"/>
                </a:rPr>
                <a:t>𝜃</a:t>
              </a:r>
              <a:r>
                <a:rPr lang="en-US" sz="1600" b="0" i="0">
                  <a:latin typeface="Cambria Math" panose="02040503050406030204" pitchFamily="18" charset="0"/>
                  <a:ea typeface="Cambria Math" panose="02040503050406030204" pitchFamily="18" charset="0"/>
                </a:rPr>
                <a:t>_</a:t>
              </a:r>
              <a:r>
                <a:rPr lang="en-GB" sz="1600" b="0" i="0">
                  <a:latin typeface="Cambria Math" panose="02040503050406030204" pitchFamily="18" charset="0"/>
                </a:rPr>
                <a:t>1 </a:t>
              </a:r>
              <a:r>
                <a:rPr lang="en-US" sz="1600" b="0" i="0">
                  <a:latin typeface="Cambria Math" panose="02040503050406030204" pitchFamily="18" charset="0"/>
                </a:rPr>
                <a:t>)</a:t>
              </a:r>
              <a:endParaRPr lang="en-GB" sz="1600" b="0" i="1">
                <a:latin typeface="Cambria Math" panose="02040503050406030204" pitchFamily="18" charset="0"/>
              </a:endParaRPr>
            </a:p>
            <a:p>
              <a:pPr algn="l"/>
              <a:endParaRPr lang="en-GB" sz="1600" b="0" i="1">
                <a:latin typeface="Cambria Math" panose="02040503050406030204" pitchFamily="18" charset="0"/>
              </a:endParaRPr>
            </a:p>
            <a:p>
              <a:pPr algn="l"/>
              <a:r>
                <a:rPr lang="en-GB" sz="1600" b="0" i="0">
                  <a:latin typeface="Cambria Math" panose="02040503050406030204" pitchFamily="18" charset="0"/>
                </a:rPr>
                <a:t>=1</a:t>
              </a:r>
              <a:r>
                <a:rPr lang="en-US" sz="1600" b="0" i="0">
                  <a:latin typeface="Cambria Math" panose="02040503050406030204" pitchFamily="18" charset="0"/>
                </a:rPr>
                <a:t>/</a:t>
              </a:r>
              <a:r>
                <a:rPr lang="en-GB" sz="1600" b="0" i="0">
                  <a:latin typeface="Cambria Math" panose="02040503050406030204" pitchFamily="18" charset="0"/>
                </a:rPr>
                <a:t>𝑚</a:t>
              </a:r>
              <a:r>
                <a:rPr lang="en-US" sz="1600" b="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rPr>
                <a:t>𝑑_3</a:t>
              </a:r>
              <a:r>
                <a:rPr lang="en-US" sz="1600" b="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ea typeface="Cambria Math" panose="02040503050406030204" pitchFamily="18" charset="0"/>
                </a:rPr>
                <a:t>𝜃</a:t>
              </a:r>
              <a:r>
                <a:rPr lang="en-US" sz="1600" b="0" i="0">
                  <a:latin typeface="Cambria Math" panose="02040503050406030204" pitchFamily="18" charset="0"/>
                  <a:ea typeface="Cambria Math" panose="02040503050406030204" pitchFamily="18" charset="0"/>
                </a:rPr>
                <a:t>_</a:t>
              </a:r>
              <a:r>
                <a:rPr lang="en-GB" sz="1600" b="0" i="0">
                  <a:latin typeface="Cambria Math" panose="02040503050406030204" pitchFamily="18" charset="0"/>
                  <a:ea typeface="Cambria Math" panose="02040503050406030204" pitchFamily="18" charset="0"/>
                </a:rPr>
                <a:t>2×</a:t>
              </a:r>
              <a:r>
                <a:rPr lang="en-US" sz="1600" i="0">
                  <a:latin typeface="Cambria Math" panose="02040503050406030204" pitchFamily="18" charset="0"/>
                </a:rPr>
                <a:t>(𝜕</a:t>
              </a:r>
              <a:r>
                <a:rPr lang="en-GB" sz="1600" b="0" i="0">
                  <a:latin typeface="Cambria Math" panose="02040503050406030204" pitchFamily="18" charset="0"/>
                </a:rPr>
                <a:t>𝑎_2</a:t>
              </a:r>
              <a:r>
                <a:rPr lang="en-US" sz="1600" b="0" i="0">
                  <a:latin typeface="Cambria Math" panose="02040503050406030204" pitchFamily="18" charset="0"/>
                </a:rPr>
                <a:t>)/(</a:t>
              </a:r>
              <a:r>
                <a:rPr lang="en-US" sz="1600" i="0">
                  <a:latin typeface="Cambria Math" panose="02040503050406030204" pitchFamily="18" charset="0"/>
                </a:rPr>
                <a:t>𝜕</a:t>
              </a:r>
              <a:r>
                <a:rPr lang="en-GB" sz="1600" b="0" i="0">
                  <a:latin typeface="Cambria Math" panose="02040503050406030204" pitchFamily="18" charset="0"/>
                </a:rPr>
                <a:t>𝑧</a:t>
              </a:r>
              <a:r>
                <a:rPr lang="en-US" sz="1600" b="0" i="0">
                  <a:latin typeface="Cambria Math" panose="02040503050406030204" pitchFamily="18" charset="0"/>
                </a:rPr>
                <a:t>_</a:t>
              </a:r>
              <a:r>
                <a:rPr lang="en-GB" sz="1600" b="0" i="0">
                  <a:latin typeface="Cambria Math" panose="02040503050406030204" pitchFamily="18" charset="0"/>
                </a:rPr>
                <a:t>2 </a:t>
              </a:r>
              <a:r>
                <a:rPr lang="en-US" sz="1600" b="0" i="0">
                  <a:latin typeface="Cambria Math" panose="02040503050406030204" pitchFamily="18" charset="0"/>
                </a:rPr>
                <a:t>)</a:t>
              </a:r>
              <a:r>
                <a:rPr lang="en-US" sz="1600" i="0">
                  <a:latin typeface="Cambria Math" panose="02040503050406030204" pitchFamily="18" charset="0"/>
                  <a:ea typeface="Cambria Math" panose="02040503050406030204" pitchFamily="18" charset="0"/>
                </a:rPr>
                <a:t>×</a:t>
              </a:r>
              <a:r>
                <a:rPr lang="en-GB" sz="1600" b="0" i="0">
                  <a:latin typeface="Cambria Math" panose="02040503050406030204" pitchFamily="18" charset="0"/>
                </a:rPr>
                <a:t>𝑎</a:t>
              </a:r>
              <a:r>
                <a:rPr lang="en-US" sz="1600" b="0" i="0">
                  <a:latin typeface="Cambria Math" panose="02040503050406030204" pitchFamily="18" charset="0"/>
                </a:rPr>
                <a:t>_</a:t>
              </a:r>
              <a:r>
                <a:rPr lang="en-GB" sz="1600" b="0" i="0">
                  <a:latin typeface="Cambria Math" panose="02040503050406030204" pitchFamily="18" charset="0"/>
                </a:rPr>
                <a:t>1</a:t>
              </a:r>
              <a:endParaRPr lang="en-GB" sz="1600" b="0" i="1">
                <a:latin typeface="Cambria Math" panose="02040503050406030204" pitchFamily="18" charset="0"/>
              </a:endParaRPr>
            </a:p>
            <a:p>
              <a:pPr algn="l"/>
              <a:endParaRPr lang="en-GB" sz="1600" b="0" i="1">
                <a:latin typeface="Cambria Math" panose="02040503050406030204" pitchFamily="18" charset="0"/>
              </a:endParaRPr>
            </a:p>
            <a:p>
              <a:pPr marL="0" marR="0" lvl="0" indent="0" algn="l" defTabSz="914400" eaLnBrk="1" fontAlgn="auto" latinLnBrk="0" hangingPunct="1">
                <a:lnSpc>
                  <a:spcPct val="100000"/>
                </a:lnSpc>
                <a:spcBef>
                  <a:spcPts val="0"/>
                </a:spcBef>
                <a:spcAft>
                  <a:spcPts val="0"/>
                </a:spcAft>
                <a:buClrTx/>
                <a:buSzTx/>
                <a:buFontTx/>
                <a:buNone/>
                <a:tabLst/>
                <a:defRPr/>
              </a:pPr>
              <a:r>
                <a:rPr lang="en-GB" sz="1600" b="0" i="0">
                  <a:latin typeface="Cambria Math" panose="02040503050406030204" pitchFamily="18" charset="0"/>
                </a:rPr>
                <a:t>=1</a:t>
              </a:r>
              <a:r>
                <a:rPr lang="en-US" sz="1600" b="0" i="0">
                  <a:latin typeface="Cambria Math" panose="02040503050406030204" pitchFamily="18" charset="0"/>
                </a:rPr>
                <a:t>/</a:t>
              </a:r>
              <a:r>
                <a:rPr lang="en-GB" sz="1600" b="0" i="0">
                  <a:latin typeface="Cambria Math" panose="02040503050406030204" pitchFamily="18" charset="0"/>
                </a:rPr>
                <a:t>𝑚 𝑑_2</a:t>
              </a:r>
              <a:r>
                <a:rPr lang="en-US" sz="1600" i="0">
                  <a:latin typeface="Cambria Math" panose="02040503050406030204" pitchFamily="18" charset="0"/>
                  <a:ea typeface="Cambria Math" panose="02040503050406030204" pitchFamily="18" charset="0"/>
                </a:rPr>
                <a:t>×</a:t>
              </a:r>
              <a:r>
                <a:rPr lang="en-GB" sz="1600" i="0">
                  <a:latin typeface="Cambria Math" panose="02040503050406030204" pitchFamily="18" charset="0"/>
                </a:rPr>
                <a:t>1</a:t>
              </a:r>
              <a:endParaRPr lang="en-US" sz="1600"/>
            </a:p>
          </xdr:txBody>
        </xdr:sp>
      </mc:Fallback>
    </mc:AlternateContent>
    <xdr:clientData/>
  </xdr:oneCellAnchor>
  <mc:AlternateContent xmlns:mc="http://schemas.openxmlformats.org/markup-compatibility/2006">
    <mc:Choice xmlns:a14="http://schemas.microsoft.com/office/drawing/2010/main" Requires="a14">
      <xdr:twoCellAnchor>
        <xdr:from>
          <xdr:col>30</xdr:col>
          <xdr:colOff>12700</xdr:colOff>
          <xdr:row>0</xdr:row>
          <xdr:rowOff>177800</xdr:rowOff>
        </xdr:from>
        <xdr:to>
          <xdr:col>33</xdr:col>
          <xdr:colOff>152400</xdr:colOff>
          <xdr:row>4</xdr:row>
          <xdr:rowOff>88900</xdr:rowOff>
        </xdr:to>
        <xdr:sp macro="" textlink="">
          <xdr:nvSpPr>
            <xdr:cNvPr id="1135" name="Button 111" descr="Run one epoch" hidden="1">
              <a:extLst>
                <a:ext uri="{63B3BB69-23CF-44E3-9099-C40C66FF867C}">
                  <a14:compatExt spid="_x0000_s1135"/>
                </a:ext>
                <a:ext uri="{FF2B5EF4-FFF2-40B4-BE49-F238E27FC236}">
                  <a16:creationId xmlns:a16="http://schemas.microsoft.com/office/drawing/2014/main" id="{00000000-0008-0000-02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Paste in new validation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368300</xdr:colOff>
          <xdr:row>0</xdr:row>
          <xdr:rowOff>177800</xdr:rowOff>
        </xdr:from>
        <xdr:to>
          <xdr:col>37</xdr:col>
          <xdr:colOff>139700</xdr:colOff>
          <xdr:row>4</xdr:row>
          <xdr:rowOff>101600</xdr:rowOff>
        </xdr:to>
        <xdr:sp macro="" textlink="">
          <xdr:nvSpPr>
            <xdr:cNvPr id="1141" name="run_one_epoch" descr="Run one epoch" hidden="1">
              <a:extLst>
                <a:ext uri="{63B3BB69-23CF-44E3-9099-C40C66FF867C}">
                  <a14:compatExt spid="_x0000_s1141"/>
                </a:ext>
                <a:ext uri="{FF2B5EF4-FFF2-40B4-BE49-F238E27FC236}">
                  <a16:creationId xmlns:a16="http://schemas.microsoft.com/office/drawing/2014/main" id="{00000000-0008-0000-0200-00007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 one batch and record weights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37</xdr:col>
          <xdr:colOff>431800</xdr:colOff>
          <xdr:row>0</xdr:row>
          <xdr:rowOff>177800</xdr:rowOff>
        </xdr:from>
        <xdr:to>
          <xdr:col>40</xdr:col>
          <xdr:colOff>38100</xdr:colOff>
          <xdr:row>4</xdr:row>
          <xdr:rowOff>114300</xdr:rowOff>
        </xdr:to>
        <xdr:sp macro="" textlink="">
          <xdr:nvSpPr>
            <xdr:cNvPr id="1143" name="Button 119" descr="Run one epoch" hidden="1">
              <a:extLst>
                <a:ext uri="{63B3BB69-23CF-44E3-9099-C40C66FF867C}">
                  <a14:compatExt spid="_x0000_s1143"/>
                </a:ext>
                <a:ext uri="{FF2B5EF4-FFF2-40B4-BE49-F238E27FC236}">
                  <a16:creationId xmlns:a16="http://schemas.microsoft.com/office/drawing/2014/main" id="{00000000-0008-0000-0200-00007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Run one epoch and record weights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9309554" cy="6072187"/>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9313333" cy="6071810"/>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9306478" cy="6067206"/>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hriskelly/Downloads/Simplyfying_deep_AN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utorial"/>
      <sheetName val="Calc"/>
      <sheetName val="Suggested_initial_parameters"/>
      <sheetName val="Cover"/>
    </sheetNames>
    <sheetDataSet>
      <sheetData sheetId="0" refreshError="1"/>
      <sheetData sheetId="1">
        <row r="2">
          <cell r="J2">
            <v>0.5</v>
          </cell>
        </row>
        <row r="7">
          <cell r="C7">
            <v>1</v>
          </cell>
          <cell r="D7">
            <v>0</v>
          </cell>
          <cell r="E7">
            <v>4</v>
          </cell>
          <cell r="F7">
            <v>0</v>
          </cell>
          <cell r="G7">
            <v>1</v>
          </cell>
          <cell r="H7">
            <v>0.32048291215518299</v>
          </cell>
          <cell r="L7">
            <v>23</v>
          </cell>
          <cell r="AY7">
            <v>0.30381057011527329</v>
          </cell>
        </row>
        <row r="8">
          <cell r="C8">
            <v>8</v>
          </cell>
          <cell r="D8">
            <v>9</v>
          </cell>
          <cell r="E8">
            <v>8</v>
          </cell>
          <cell r="F8">
            <v>3</v>
          </cell>
          <cell r="G8">
            <v>1</v>
          </cell>
          <cell r="H8">
            <v>0.31964240694731144</v>
          </cell>
          <cell r="L8">
            <v>5</v>
          </cell>
          <cell r="AY8">
            <v>0.32064613108484274</v>
          </cell>
        </row>
        <row r="9">
          <cell r="C9">
            <v>2</v>
          </cell>
          <cell r="D9">
            <v>1</v>
          </cell>
          <cell r="E9">
            <v>4</v>
          </cell>
          <cell r="F9">
            <v>4</v>
          </cell>
          <cell r="G9">
            <v>1</v>
          </cell>
          <cell r="H9">
            <v>0.31920831131361382</v>
          </cell>
          <cell r="L9">
            <v>25</v>
          </cell>
          <cell r="AY9">
            <v>0.32149872739143531</v>
          </cell>
        </row>
        <row r="10">
          <cell r="C10">
            <v>9</v>
          </cell>
          <cell r="D10">
            <v>9</v>
          </cell>
          <cell r="E10">
            <v>1</v>
          </cell>
          <cell r="F10">
            <v>7</v>
          </cell>
          <cell r="G10">
            <v>0</v>
          </cell>
          <cell r="H10">
            <v>0.30149325900781765</v>
          </cell>
          <cell r="L10">
            <v>21</v>
          </cell>
          <cell r="AY10">
            <v>0.31695875503258886</v>
          </cell>
        </row>
        <row r="11">
          <cell r="C11">
            <v>8</v>
          </cell>
          <cell r="D11">
            <v>8</v>
          </cell>
          <cell r="E11">
            <v>8</v>
          </cell>
          <cell r="F11">
            <v>4</v>
          </cell>
          <cell r="G11">
            <v>1</v>
          </cell>
          <cell r="H11">
            <v>0.32064613108484274</v>
          </cell>
          <cell r="L11">
            <v>17</v>
          </cell>
          <cell r="AY11">
            <v>0.32468697124140083</v>
          </cell>
        </row>
        <row r="12">
          <cell r="C12">
            <v>9</v>
          </cell>
          <cell r="D12">
            <v>6</v>
          </cell>
          <cell r="E12">
            <v>0</v>
          </cell>
          <cell r="F12">
            <v>0</v>
          </cell>
          <cell r="G12">
            <v>0</v>
          </cell>
          <cell r="H12">
            <v>0.30233309316466306</v>
          </cell>
          <cell r="L12">
            <v>13</v>
          </cell>
          <cell r="AY12">
            <v>0.31830396005445555</v>
          </cell>
        </row>
        <row r="13">
          <cell r="C13">
            <v>8</v>
          </cell>
          <cell r="D13">
            <v>7</v>
          </cell>
          <cell r="E13">
            <v>4</v>
          </cell>
          <cell r="F13">
            <v>6</v>
          </cell>
          <cell r="G13">
            <v>1</v>
          </cell>
          <cell r="H13">
            <v>0.31441006796261411</v>
          </cell>
          <cell r="L13">
            <v>10</v>
          </cell>
          <cell r="AY13">
            <v>0.30607840182177065</v>
          </cell>
        </row>
        <row r="14">
          <cell r="C14">
            <v>5</v>
          </cell>
          <cell r="D14">
            <v>3</v>
          </cell>
          <cell r="E14">
            <v>9</v>
          </cell>
          <cell r="F14">
            <v>6</v>
          </cell>
          <cell r="G14">
            <v>1</v>
          </cell>
          <cell r="H14">
            <v>0.32409151965808469</v>
          </cell>
          <cell r="L14">
            <v>11</v>
          </cell>
          <cell r="AY14">
            <v>0.31125616574692921</v>
          </cell>
        </row>
        <row r="15">
          <cell r="C15">
            <v>3</v>
          </cell>
          <cell r="D15">
            <v>0</v>
          </cell>
          <cell r="E15">
            <v>9</v>
          </cell>
          <cell r="F15">
            <v>3</v>
          </cell>
          <cell r="G15">
            <v>1</v>
          </cell>
          <cell r="H15">
            <v>0.32418924164790364</v>
          </cell>
          <cell r="L15">
            <v>24</v>
          </cell>
          <cell r="AY15">
            <v>0.3142485143348957</v>
          </cell>
        </row>
        <row r="16">
          <cell r="C16">
            <v>0</v>
          </cell>
          <cell r="D16">
            <v>9</v>
          </cell>
          <cell r="E16">
            <v>1</v>
          </cell>
          <cell r="F16">
            <v>7</v>
          </cell>
          <cell r="G16">
            <v>0</v>
          </cell>
          <cell r="H16">
            <v>0.30607840182177065</v>
          </cell>
          <cell r="L16">
            <v>16</v>
          </cell>
          <cell r="AY16">
            <v>0.31401098258460364</v>
          </cell>
        </row>
        <row r="17">
          <cell r="C17">
            <v>3</v>
          </cell>
          <cell r="D17">
            <v>5</v>
          </cell>
          <cell r="E17">
            <v>1</v>
          </cell>
          <cell r="F17">
            <v>1</v>
          </cell>
          <cell r="G17">
            <v>0</v>
          </cell>
          <cell r="H17">
            <v>0.31125616574692921</v>
          </cell>
          <cell r="L17">
            <v>6</v>
          </cell>
          <cell r="AY17">
            <v>0.30233309316466306</v>
          </cell>
        </row>
        <row r="18">
          <cell r="C18">
            <v>6</v>
          </cell>
          <cell r="D18">
            <v>4</v>
          </cell>
          <cell r="E18">
            <v>9</v>
          </cell>
          <cell r="F18">
            <v>3</v>
          </cell>
          <cell r="G18">
            <v>1</v>
          </cell>
          <cell r="H18">
            <v>0.32417906813942937</v>
          </cell>
          <cell r="L18">
            <v>1</v>
          </cell>
          <cell r="AY18">
            <v>0.32048291215518299</v>
          </cell>
        </row>
        <row r="19">
          <cell r="C19">
            <v>3</v>
          </cell>
          <cell r="D19">
            <v>9</v>
          </cell>
          <cell r="E19">
            <v>6</v>
          </cell>
          <cell r="F19">
            <v>2</v>
          </cell>
          <cell r="G19">
            <v>0</v>
          </cell>
          <cell r="H19">
            <v>0.31830396005445555</v>
          </cell>
          <cell r="L19">
            <v>4</v>
          </cell>
          <cell r="AY19">
            <v>0.30149325900781765</v>
          </cell>
        </row>
        <row r="20">
          <cell r="C20">
            <v>8</v>
          </cell>
          <cell r="D20">
            <v>6</v>
          </cell>
          <cell r="E20">
            <v>4</v>
          </cell>
          <cell r="F20">
            <v>4</v>
          </cell>
          <cell r="G20">
            <v>1</v>
          </cell>
          <cell r="H20">
            <v>0.31575458981325888</v>
          </cell>
          <cell r="L20">
            <v>8</v>
          </cell>
          <cell r="AY20">
            <v>0.32409151965808469</v>
          </cell>
        </row>
        <row r="21">
          <cell r="C21">
            <v>3</v>
          </cell>
          <cell r="D21">
            <v>9</v>
          </cell>
          <cell r="E21">
            <v>9</v>
          </cell>
          <cell r="F21">
            <v>0</v>
          </cell>
          <cell r="G21">
            <v>0</v>
          </cell>
          <cell r="H21">
            <v>0.32221241256613176</v>
          </cell>
          <cell r="L21">
            <v>3</v>
          </cell>
          <cell r="AY21">
            <v>0.31920831131361382</v>
          </cell>
        </row>
        <row r="22">
          <cell r="C22">
            <v>7</v>
          </cell>
          <cell r="D22">
            <v>4</v>
          </cell>
          <cell r="E22">
            <v>2</v>
          </cell>
          <cell r="F22">
            <v>0</v>
          </cell>
          <cell r="G22">
            <v>1</v>
          </cell>
          <cell r="H22">
            <v>0.31401098258460364</v>
          </cell>
          <cell r="L22">
            <v>9</v>
          </cell>
          <cell r="AY22">
            <v>0.32418924164790364</v>
          </cell>
        </row>
        <row r="23">
          <cell r="C23">
            <v>9</v>
          </cell>
          <cell r="D23">
            <v>1</v>
          </cell>
          <cell r="E23">
            <v>9</v>
          </cell>
          <cell r="F23">
            <v>1</v>
          </cell>
          <cell r="G23">
            <v>1</v>
          </cell>
          <cell r="H23">
            <v>0.32468697124140083</v>
          </cell>
          <cell r="L23">
            <v>2</v>
          </cell>
          <cell r="AY23">
            <v>0.31964240694731144</v>
          </cell>
        </row>
        <row r="24">
          <cell r="C24">
            <v>0</v>
          </cell>
          <cell r="D24">
            <v>0</v>
          </cell>
          <cell r="E24">
            <v>7</v>
          </cell>
          <cell r="F24">
            <v>8</v>
          </cell>
          <cell r="G24">
            <v>1</v>
          </cell>
          <cell r="H24">
            <v>0.31667692496595834</v>
          </cell>
          <cell r="L24">
            <v>12</v>
          </cell>
          <cell r="AY24">
            <v>0.32417906813942937</v>
          </cell>
        </row>
        <row r="25">
          <cell r="C25">
            <v>1</v>
          </cell>
          <cell r="D25">
            <v>1</v>
          </cell>
          <cell r="E25">
            <v>0</v>
          </cell>
          <cell r="F25">
            <v>0</v>
          </cell>
          <cell r="G25">
            <v>0</v>
          </cell>
          <cell r="H25">
            <v>0.31218380226966946</v>
          </cell>
          <cell r="L25">
            <v>15</v>
          </cell>
          <cell r="AY25">
            <v>0.32221241256613176</v>
          </cell>
        </row>
        <row r="26">
          <cell r="C26">
            <v>0</v>
          </cell>
          <cell r="D26">
            <v>7</v>
          </cell>
          <cell r="E26">
            <v>7</v>
          </cell>
          <cell r="F26">
            <v>3</v>
          </cell>
          <cell r="G26">
            <v>0</v>
          </cell>
          <cell r="H26">
            <v>0.32192833626783512</v>
          </cell>
          <cell r="L26">
            <v>19</v>
          </cell>
          <cell r="AY26">
            <v>0.31218380226966946</v>
          </cell>
        </row>
        <row r="27">
          <cell r="C27">
            <v>3</v>
          </cell>
          <cell r="D27">
            <v>4</v>
          </cell>
          <cell r="E27">
            <v>4</v>
          </cell>
          <cell r="F27">
            <v>9</v>
          </cell>
          <cell r="G27">
            <v>1</v>
          </cell>
          <cell r="H27">
            <v>0.31695875503258886</v>
          </cell>
          <cell r="L27">
            <v>20</v>
          </cell>
          <cell r="AY27">
            <v>0.32192833626783512</v>
          </cell>
        </row>
        <row r="28">
          <cell r="C28">
            <v>2</v>
          </cell>
          <cell r="D28">
            <v>5</v>
          </cell>
          <cell r="E28">
            <v>5</v>
          </cell>
          <cell r="F28">
            <v>6</v>
          </cell>
          <cell r="G28">
            <v>1</v>
          </cell>
          <cell r="H28">
            <v>0.31985239999303611</v>
          </cell>
          <cell r="L28">
            <v>18</v>
          </cell>
          <cell r="AY28">
            <v>0.31667692496595834</v>
          </cell>
        </row>
        <row r="29">
          <cell r="C29">
            <v>6</v>
          </cell>
          <cell r="D29">
            <v>9</v>
          </cell>
          <cell r="E29">
            <v>1</v>
          </cell>
          <cell r="F29">
            <v>8</v>
          </cell>
          <cell r="G29">
            <v>0</v>
          </cell>
          <cell r="H29">
            <v>0.30381057011527329</v>
          </cell>
          <cell r="L29">
            <v>14</v>
          </cell>
          <cell r="AY29">
            <v>0.31575458981325888</v>
          </cell>
        </row>
        <row r="30">
          <cell r="C30">
            <v>6</v>
          </cell>
          <cell r="D30">
            <v>4</v>
          </cell>
          <cell r="E30">
            <v>2</v>
          </cell>
          <cell r="F30">
            <v>6</v>
          </cell>
          <cell r="G30">
            <v>1</v>
          </cell>
          <cell r="H30">
            <v>0.3142485143348957</v>
          </cell>
          <cell r="L30">
            <v>22</v>
          </cell>
          <cell r="AY30">
            <v>0.31985239999303611</v>
          </cell>
        </row>
        <row r="31">
          <cell r="C31">
            <v>0</v>
          </cell>
          <cell r="D31">
            <v>7</v>
          </cell>
          <cell r="E31">
            <v>7</v>
          </cell>
          <cell r="F31">
            <v>7</v>
          </cell>
          <cell r="G31">
            <v>1</v>
          </cell>
          <cell r="H31">
            <v>0.32149872739143531</v>
          </cell>
          <cell r="L31">
            <v>7</v>
          </cell>
          <cell r="AY31">
            <v>0.31441006796261411</v>
          </cell>
        </row>
        <row r="35">
          <cell r="L35">
            <v>23</v>
          </cell>
        </row>
      </sheetData>
      <sheetData sheetId="2" refreshError="1"/>
      <sheetData sheetId="3"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3.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B326D-F00E-3741-955F-AD38E3F0109B}">
  <sheetPr codeName="Sheet7"/>
  <dimension ref="A2:D40"/>
  <sheetViews>
    <sheetView zoomScale="62" zoomScaleNormal="70" workbookViewId="0">
      <selection activeCell="B19" sqref="B19"/>
    </sheetView>
  </sheetViews>
  <sheetFormatPr baseColWidth="10" defaultColWidth="8.83203125" defaultRowHeight="15"/>
  <cols>
    <col min="2" max="2" width="109" style="139" customWidth="1"/>
    <col min="4" max="4" width="146.5" customWidth="1"/>
  </cols>
  <sheetData>
    <row r="2" spans="1:4" ht="34" customHeight="1">
      <c r="B2"/>
    </row>
    <row r="3" spans="1:4" ht="40">
      <c r="B3" s="138" t="s">
        <v>151</v>
      </c>
      <c r="D3" s="145"/>
    </row>
    <row r="4" spans="1:4">
      <c r="B4"/>
      <c r="D4" s="145"/>
    </row>
    <row r="5" spans="1:4" ht="48">
      <c r="B5" s="141" t="s">
        <v>169</v>
      </c>
      <c r="D5" s="145"/>
    </row>
    <row r="6" spans="1:4" ht="96">
      <c r="B6" s="141" t="s">
        <v>173</v>
      </c>
      <c r="D6" s="145"/>
    </row>
    <row r="7" spans="1:4" ht="83" customHeight="1">
      <c r="B7" s="141" t="s">
        <v>171</v>
      </c>
      <c r="D7" s="145"/>
    </row>
    <row r="8" spans="1:4" ht="64">
      <c r="B8" s="141" t="s">
        <v>172</v>
      </c>
      <c r="D8" s="145"/>
    </row>
    <row r="9" spans="1:4" ht="112">
      <c r="B9" s="141" t="s">
        <v>187</v>
      </c>
      <c r="D9" s="145"/>
    </row>
    <row r="10" spans="1:4" ht="32">
      <c r="B10" s="141" t="s">
        <v>170</v>
      </c>
      <c r="D10" s="145"/>
    </row>
    <row r="11" spans="1:4" ht="32">
      <c r="B11" s="141" t="s">
        <v>164</v>
      </c>
      <c r="D11" s="145"/>
    </row>
    <row r="12" spans="1:4">
      <c r="D12" s="145"/>
    </row>
    <row r="13" spans="1:4" ht="20">
      <c r="B13" s="138" t="s">
        <v>152</v>
      </c>
      <c r="D13" s="145"/>
    </row>
    <row r="14" spans="1:4">
      <c r="B14"/>
      <c r="D14" s="145"/>
    </row>
    <row r="15" spans="1:4" ht="32">
      <c r="A15" s="140" t="s">
        <v>153</v>
      </c>
      <c r="B15" s="139" t="s">
        <v>165</v>
      </c>
      <c r="D15" s="145"/>
    </row>
    <row r="16" spans="1:4" ht="32">
      <c r="A16" s="140" t="s">
        <v>154</v>
      </c>
      <c r="B16" s="139" t="s">
        <v>166</v>
      </c>
      <c r="D16" s="145"/>
    </row>
    <row r="17" spans="1:4" ht="96">
      <c r="A17" s="140" t="s">
        <v>155</v>
      </c>
      <c r="B17" s="139" t="s">
        <v>167</v>
      </c>
      <c r="D17" s="145"/>
    </row>
    <row r="18" spans="1:4" ht="32">
      <c r="A18" s="140" t="s">
        <v>156</v>
      </c>
      <c r="B18" s="139" t="s">
        <v>174</v>
      </c>
      <c r="D18" s="145"/>
    </row>
    <row r="19" spans="1:4" ht="64">
      <c r="A19" s="140" t="s">
        <v>157</v>
      </c>
      <c r="B19" s="139" t="s">
        <v>188</v>
      </c>
      <c r="D19" s="145"/>
    </row>
    <row r="20" spans="1:4" ht="64">
      <c r="A20" s="140" t="s">
        <v>158</v>
      </c>
      <c r="B20" s="139" t="s">
        <v>175</v>
      </c>
      <c r="D20" s="145"/>
    </row>
    <row r="21" spans="1:4" ht="16">
      <c r="A21" s="140" t="s">
        <v>159</v>
      </c>
      <c r="B21" s="139" t="s">
        <v>160</v>
      </c>
      <c r="D21" s="145"/>
    </row>
    <row r="22" spans="1:4" ht="48">
      <c r="A22" s="140" t="s">
        <v>161</v>
      </c>
      <c r="B22" s="141" t="s">
        <v>176</v>
      </c>
      <c r="D22" s="145"/>
    </row>
    <row r="23" spans="1:4" ht="32">
      <c r="A23" s="140" t="s">
        <v>162</v>
      </c>
      <c r="B23" s="139" t="s">
        <v>168</v>
      </c>
      <c r="D23" s="145"/>
    </row>
    <row r="24" spans="1:4">
      <c r="D24" s="145"/>
    </row>
    <row r="25" spans="1:4" ht="20">
      <c r="B25" s="138" t="s">
        <v>163</v>
      </c>
      <c r="D25" s="145"/>
    </row>
    <row r="26" spans="1:4">
      <c r="D26" s="145"/>
    </row>
    <row r="27" spans="1:4" ht="48">
      <c r="B27" s="139" t="s">
        <v>177</v>
      </c>
      <c r="D27" s="145"/>
    </row>
    <row r="28" spans="1:4" ht="16">
      <c r="B28" s="139" t="s">
        <v>178</v>
      </c>
      <c r="D28" s="145"/>
    </row>
    <row r="29" spans="1:4">
      <c r="D29" s="145"/>
    </row>
    <row r="30" spans="1:4" ht="20">
      <c r="B30" s="138" t="s">
        <v>179</v>
      </c>
      <c r="D30" s="145"/>
    </row>
    <row r="31" spans="1:4">
      <c r="B31"/>
      <c r="D31" s="145"/>
    </row>
    <row r="32" spans="1:4" ht="32">
      <c r="B32" s="139" t="s">
        <v>181</v>
      </c>
      <c r="D32" s="145"/>
    </row>
    <row r="33" spans="2:4" ht="32">
      <c r="B33" s="139" t="s">
        <v>180</v>
      </c>
      <c r="D33" s="145"/>
    </row>
    <row r="34" spans="2:4" ht="32">
      <c r="B34" s="142" t="s">
        <v>182</v>
      </c>
      <c r="D34" s="145"/>
    </row>
    <row r="35" spans="2:4" ht="32">
      <c r="B35" s="142" t="s">
        <v>183</v>
      </c>
      <c r="C35" s="142"/>
      <c r="D35" s="145"/>
    </row>
    <row r="36" spans="2:4" ht="32">
      <c r="B36" s="142" t="s">
        <v>186</v>
      </c>
      <c r="C36" s="142"/>
      <c r="D36" s="145"/>
    </row>
    <row r="37" spans="2:4" ht="48">
      <c r="B37" s="142" t="s">
        <v>184</v>
      </c>
      <c r="C37" s="8"/>
      <c r="D37" s="145"/>
    </row>
    <row r="38" spans="2:4" ht="48">
      <c r="B38" s="142" t="s">
        <v>185</v>
      </c>
      <c r="D38" s="145"/>
    </row>
    <row r="39" spans="2:4">
      <c r="C39" s="8"/>
      <c r="D39" s="8"/>
    </row>
    <row r="40" spans="2:4">
      <c r="C40" s="8"/>
      <c r="D40" s="8"/>
    </row>
  </sheetData>
  <mergeCells count="1">
    <mergeCell ref="D3:D38"/>
  </mergeCells>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1DB55-AD46-9845-942F-C54BAB6857E2}">
  <sheetPr codeName="Sheet6"/>
  <dimension ref="B22:B23"/>
  <sheetViews>
    <sheetView showGridLines="0" zoomScale="85" workbookViewId="0"/>
  </sheetViews>
  <sheetFormatPr baseColWidth="10" defaultRowHeight="15"/>
  <sheetData>
    <row r="22" spans="2:2">
      <c r="B22" s="3"/>
    </row>
    <row r="23" spans="2:2">
      <c r="B23" s="3"/>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81642-24B0-C64E-A8D5-F003EC6D9843}">
  <sheetPr codeName="Sheet1"/>
  <dimension ref="B2:BH167"/>
  <sheetViews>
    <sheetView tabSelected="1" zoomScale="62" workbookViewId="0"/>
  </sheetViews>
  <sheetFormatPr baseColWidth="10" defaultRowHeight="15"/>
  <cols>
    <col min="1" max="1" width="5.5" customWidth="1"/>
    <col min="2" max="2" width="8.6640625" customWidth="1"/>
    <col min="3" max="6" width="5.83203125" customWidth="1"/>
    <col min="7" max="7" width="6.33203125" customWidth="1"/>
    <col min="8" max="8" width="4.1640625" customWidth="1"/>
    <col min="9" max="9" width="5.1640625" customWidth="1"/>
    <col min="10" max="10" width="4.1640625" customWidth="1"/>
    <col min="11" max="11" width="5.6640625" bestFit="1" customWidth="1"/>
    <col min="12" max="12" width="7.5" customWidth="1"/>
    <col min="13" max="13" width="4.1640625" customWidth="1"/>
    <col min="14" max="18" width="5.6640625" customWidth="1"/>
    <col min="19" max="19" width="5" customWidth="1"/>
    <col min="20" max="20" width="4.1640625" customWidth="1"/>
    <col min="21" max="21" width="6.6640625" customWidth="1"/>
    <col min="22" max="24" width="8.33203125" customWidth="1"/>
    <col min="25" max="25" width="4.1640625" customWidth="1"/>
    <col min="26" max="28" width="5.6640625" customWidth="1"/>
    <col min="29" max="29" width="4.1640625" customWidth="1"/>
    <col min="30" max="36" width="5.6640625" customWidth="1"/>
    <col min="37" max="37" width="4.1640625" customWidth="1"/>
    <col min="38" max="38" width="6.6640625" customWidth="1"/>
    <col min="39" max="40" width="8.33203125" customWidth="1"/>
    <col min="41" max="41" width="4.1640625" customWidth="1"/>
    <col min="42" max="43" width="5.83203125" customWidth="1"/>
    <col min="44" max="44" width="4.1640625" customWidth="1"/>
    <col min="45" max="49" width="5.83203125" customWidth="1"/>
    <col min="50" max="50" width="4.1640625" customWidth="1"/>
    <col min="51" max="51" width="6.6640625" customWidth="1"/>
    <col min="52" max="52" width="12.5" bestFit="1" customWidth="1"/>
    <col min="53" max="53" width="4.1640625" customWidth="1"/>
    <col min="54" max="54" width="7" customWidth="1"/>
    <col min="55" max="55" width="4.1640625" customWidth="1"/>
    <col min="56" max="56" width="12.5" bestFit="1" customWidth="1"/>
    <col min="57" max="57" width="5.83203125" customWidth="1"/>
    <col min="58" max="58" width="5" bestFit="1" customWidth="1"/>
    <col min="59" max="59" width="13" bestFit="1" customWidth="1"/>
    <col min="60" max="60" width="74.6640625" customWidth="1"/>
    <col min="67" max="67" width="13.83203125" bestFit="1" customWidth="1"/>
  </cols>
  <sheetData>
    <row r="2" spans="2:60" ht="16" customHeight="1">
      <c r="B2" s="175" t="s">
        <v>46</v>
      </c>
      <c r="C2" s="175"/>
      <c r="D2" s="175"/>
      <c r="E2" s="175"/>
      <c r="F2" s="179">
        <v>0.01</v>
      </c>
      <c r="G2" s="179"/>
      <c r="I2" s="175" t="s">
        <v>18</v>
      </c>
      <c r="J2" s="175"/>
      <c r="K2" s="175"/>
      <c r="L2" s="175"/>
      <c r="M2" s="178">
        <v>1</v>
      </c>
      <c r="N2" s="178"/>
      <c r="O2" s="8"/>
    </row>
    <row r="3" spans="2:60" ht="16" customHeight="1">
      <c r="B3" s="175" t="s">
        <v>47</v>
      </c>
      <c r="C3" s="175"/>
      <c r="D3" s="175"/>
      <c r="E3" s="175"/>
      <c r="F3" s="179">
        <v>10</v>
      </c>
      <c r="G3" s="179"/>
      <c r="I3" s="176" t="s">
        <v>94</v>
      </c>
      <c r="J3" s="176"/>
      <c r="K3" s="176"/>
      <c r="L3" s="176"/>
      <c r="M3" s="177">
        <v>1</v>
      </c>
      <c r="N3" s="177"/>
      <c r="O3" s="37"/>
    </row>
    <row r="4" spans="2:60" ht="16" customHeight="1">
      <c r="B4" s="176" t="s">
        <v>92</v>
      </c>
      <c r="C4" s="176"/>
      <c r="D4" s="176"/>
      <c r="E4" s="176"/>
      <c r="F4" s="179">
        <v>0.2</v>
      </c>
      <c r="G4" s="179"/>
      <c r="I4" s="66" t="s">
        <v>135</v>
      </c>
      <c r="J4" s="66"/>
      <c r="K4" s="66"/>
      <c r="L4" s="143"/>
      <c r="M4" s="167">
        <f ca="1">(1/100)*SUMPRODUCT(y_shuf-h_x,y_shuf-h_x)</f>
        <v>0.16951738249599985</v>
      </c>
      <c r="N4" s="167"/>
      <c r="O4" s="37"/>
    </row>
    <row r="5" spans="2:60" ht="16" customHeight="1">
      <c r="B5" s="3" t="s">
        <v>93</v>
      </c>
      <c r="F5" s="179">
        <v>0</v>
      </c>
      <c r="G5" s="179"/>
      <c r="H5" s="7"/>
      <c r="I5" s="180" t="s">
        <v>48</v>
      </c>
      <c r="J5" s="180"/>
      <c r="K5" s="180"/>
      <c r="L5" s="180"/>
      <c r="M5" s="167">
        <f ca="1">(1/SUM(batch_bool))*SUMPRODUCT(batch_bool,y_shuf-h_x,y_shuf-h_x)</f>
        <v>0.17535395281666008</v>
      </c>
      <c r="N5" s="167"/>
      <c r="O5" s="37"/>
    </row>
    <row r="6" spans="2:60" ht="16" customHeight="1">
      <c r="B6" s="3" t="s">
        <v>132</v>
      </c>
      <c r="F6" s="179" t="s">
        <v>134</v>
      </c>
      <c r="G6" s="179"/>
      <c r="H6" s="66"/>
      <c r="I6" s="180" t="s">
        <v>136</v>
      </c>
      <c r="J6" s="180"/>
      <c r="K6" s="180"/>
      <c r="L6" s="180"/>
      <c r="M6" s="168">
        <f ca="1">(1/50)*SUMPRODUCT(cv_y-cv_h_x,cv_y-cv_h_x)</f>
        <v>0.15425212046785988</v>
      </c>
      <c r="N6" s="168"/>
      <c r="O6" s="37"/>
      <c r="AD6" s="174" t="s">
        <v>140</v>
      </c>
      <c r="AE6" s="174"/>
      <c r="AF6" s="174"/>
      <c r="AG6" s="174"/>
      <c r="AH6" s="111"/>
      <c r="AI6" s="111"/>
      <c r="AJ6" s="111"/>
      <c r="AS6" s="174" t="s">
        <v>141</v>
      </c>
      <c r="AT6" s="174"/>
      <c r="AU6" s="174"/>
      <c r="AV6" s="8"/>
      <c r="AW6" s="8"/>
      <c r="BD6" s="144" t="s">
        <v>138</v>
      </c>
      <c r="BE6" s="8"/>
      <c r="BF6" s="8"/>
      <c r="BG6" s="8"/>
    </row>
    <row r="7" spans="2:60" ht="16" customHeight="1">
      <c r="B7" s="176" t="s">
        <v>95</v>
      </c>
      <c r="C7" s="176"/>
      <c r="D7" s="176"/>
      <c r="E7" s="176"/>
      <c r="F7" s="179">
        <v>0.5</v>
      </c>
      <c r="G7" s="179"/>
      <c r="H7" s="7"/>
      <c r="AD7" s="25"/>
      <c r="AE7" s="25"/>
      <c r="AF7" s="25"/>
      <c r="AG7" s="25"/>
      <c r="AS7" s="24"/>
      <c r="AT7" s="24"/>
      <c r="AU7" s="24"/>
      <c r="BD7" s="36"/>
    </row>
    <row r="8" spans="2:60" ht="16" customHeight="1">
      <c r="B8" s="176" t="s">
        <v>96</v>
      </c>
      <c r="C8" s="176"/>
      <c r="D8" s="176"/>
      <c r="E8" s="176"/>
      <c r="F8" s="179">
        <v>0.5</v>
      </c>
      <c r="G8" s="179"/>
      <c r="H8" s="7"/>
      <c r="I8" s="70"/>
      <c r="J8" s="70"/>
      <c r="K8" s="9"/>
      <c r="L8" s="9"/>
      <c r="M8" s="9"/>
      <c r="N8" s="9"/>
      <c r="O8" s="9"/>
      <c r="P8" s="10"/>
      <c r="Q8" s="10"/>
      <c r="R8" s="10"/>
      <c r="S8" s="10"/>
      <c r="T8" s="10"/>
      <c r="U8" s="10"/>
      <c r="V8" s="10"/>
      <c r="W8" s="10"/>
      <c r="X8" s="10"/>
      <c r="Z8" s="25"/>
      <c r="AA8" s="25"/>
      <c r="AB8" s="25"/>
      <c r="AC8" s="25"/>
      <c r="AD8" s="25"/>
      <c r="AE8" s="25"/>
      <c r="AF8" s="25"/>
      <c r="AG8" s="25"/>
      <c r="AH8" s="25"/>
      <c r="AI8" s="25"/>
      <c r="AJ8" s="25"/>
      <c r="AK8" s="25"/>
      <c r="AL8" s="25"/>
      <c r="AM8" s="25"/>
      <c r="AN8" s="25"/>
      <c r="AP8" s="24"/>
      <c r="AQ8" s="24"/>
      <c r="AR8" s="24"/>
      <c r="AS8" s="24"/>
      <c r="AT8" s="24"/>
      <c r="AU8" s="24"/>
      <c r="AV8" s="24"/>
      <c r="AW8" s="24"/>
      <c r="AX8" s="24"/>
      <c r="AY8" s="24"/>
      <c r="AZ8" s="24"/>
      <c r="BB8" s="36"/>
      <c r="BC8" s="36"/>
      <c r="BD8" s="36"/>
      <c r="BE8" s="36"/>
    </row>
    <row r="9" spans="2:60" ht="16" customHeight="1">
      <c r="H9" s="66"/>
      <c r="I9" s="70"/>
      <c r="J9" s="70"/>
      <c r="K9" s="9"/>
      <c r="L9" s="9"/>
      <c r="M9" s="9"/>
      <c r="N9" s="9"/>
      <c r="O9" s="158" t="s">
        <v>50</v>
      </c>
      <c r="P9" s="158"/>
      <c r="Q9" s="158"/>
      <c r="R9" s="158"/>
      <c r="S9" s="158"/>
      <c r="T9" s="158"/>
      <c r="U9" s="158"/>
      <c r="V9" s="158"/>
      <c r="W9" s="158"/>
      <c r="X9" s="158"/>
      <c r="Z9" s="159" t="s">
        <v>51</v>
      </c>
      <c r="AA9" s="159"/>
      <c r="AB9" s="159"/>
      <c r="AC9" s="159"/>
      <c r="AD9" s="159"/>
      <c r="AE9" s="159"/>
      <c r="AF9" s="159"/>
      <c r="AG9" s="159"/>
      <c r="AH9" s="159"/>
      <c r="AI9" s="159"/>
      <c r="AJ9" s="159"/>
      <c r="AK9" s="159"/>
      <c r="AL9" s="159"/>
      <c r="AM9" s="159"/>
      <c r="AN9" s="159"/>
      <c r="AP9" s="166" t="s">
        <v>52</v>
      </c>
      <c r="AQ9" s="166"/>
      <c r="AR9" s="166"/>
      <c r="AS9" s="166"/>
      <c r="AT9" s="166"/>
      <c r="AU9" s="166"/>
      <c r="AV9" s="166"/>
      <c r="AW9" s="166"/>
      <c r="AX9" s="166"/>
      <c r="AY9" s="166"/>
      <c r="AZ9" s="166"/>
      <c r="BB9" s="165" t="s">
        <v>53</v>
      </c>
      <c r="BC9" s="165"/>
      <c r="BD9" s="165"/>
      <c r="BE9" s="108"/>
    </row>
    <row r="10" spans="2:60" ht="16" customHeight="1">
      <c r="H10" s="7"/>
      <c r="I10" s="70"/>
      <c r="J10" s="70"/>
      <c r="K10" s="9"/>
      <c r="L10" s="9"/>
      <c r="M10" s="9"/>
      <c r="N10" s="9"/>
      <c r="O10" s="82"/>
      <c r="P10" s="82"/>
      <c r="Q10" s="82"/>
      <c r="R10" s="82"/>
      <c r="S10" s="82"/>
      <c r="T10" s="82"/>
      <c r="U10" s="82"/>
      <c r="V10" s="82"/>
      <c r="W10" s="82"/>
      <c r="X10" s="82"/>
      <c r="Z10" s="83"/>
      <c r="AA10" s="83"/>
      <c r="AB10" s="83"/>
      <c r="AC10" s="83"/>
      <c r="AD10" s="83"/>
      <c r="AE10" s="83"/>
      <c r="AF10" s="83"/>
      <c r="AG10" s="83"/>
      <c r="AH10" s="110"/>
      <c r="AI10" s="110"/>
      <c r="AJ10" s="110"/>
      <c r="AK10" s="83"/>
      <c r="AL10" s="83"/>
      <c r="AM10" s="83"/>
      <c r="AN10" s="83"/>
      <c r="AP10" s="84"/>
      <c r="AQ10" s="84"/>
      <c r="AR10" s="84"/>
      <c r="AS10" s="84"/>
      <c r="AT10" s="84"/>
      <c r="AU10" s="112"/>
      <c r="AV10" s="112"/>
      <c r="AW10" s="84"/>
      <c r="AX10" s="84"/>
      <c r="AY10" s="84"/>
      <c r="AZ10" s="84"/>
      <c r="BA10" s="8"/>
      <c r="BB10" s="81"/>
      <c r="BC10" s="81"/>
      <c r="BD10" s="81"/>
      <c r="BE10" s="108"/>
    </row>
    <row r="11" spans="2:60" ht="32" customHeight="1">
      <c r="G11" s="181"/>
      <c r="H11" s="7"/>
      <c r="I11" s="160" t="s">
        <v>59</v>
      </c>
      <c r="J11" s="160"/>
      <c r="K11" s="160"/>
      <c r="L11" s="160"/>
      <c r="M11" s="69"/>
      <c r="N11" s="9"/>
      <c r="O11" s="160" t="s">
        <v>58</v>
      </c>
      <c r="P11" s="160"/>
      <c r="Q11" s="160"/>
      <c r="R11" s="160"/>
      <c r="S11" s="160"/>
      <c r="T11" s="82"/>
      <c r="U11" s="82"/>
      <c r="V11" s="160" t="s">
        <v>55</v>
      </c>
      <c r="W11" s="160"/>
      <c r="X11" s="160"/>
      <c r="Z11" s="161" t="s">
        <v>57</v>
      </c>
      <c r="AA11" s="161"/>
      <c r="AB11" s="161"/>
      <c r="AC11" s="83"/>
      <c r="AD11" s="161" t="s">
        <v>56</v>
      </c>
      <c r="AE11" s="161"/>
      <c r="AF11" s="161"/>
      <c r="AG11" s="161"/>
      <c r="AH11" s="109"/>
      <c r="AI11" s="109"/>
      <c r="AJ11" s="109"/>
      <c r="AK11" s="83"/>
      <c r="AL11" s="83"/>
      <c r="AM11" s="161" t="s">
        <v>55</v>
      </c>
      <c r="AN11" s="161"/>
      <c r="AP11" s="169" t="s">
        <v>57</v>
      </c>
      <c r="AQ11" s="169"/>
      <c r="AR11" s="54"/>
      <c r="AS11" s="169" t="s">
        <v>56</v>
      </c>
      <c r="AT11" s="169"/>
      <c r="AU11" s="169"/>
      <c r="AV11" s="119"/>
      <c r="AW11" s="119"/>
      <c r="AX11" s="54"/>
      <c r="AY11" s="54"/>
      <c r="AZ11" s="56" t="s">
        <v>55</v>
      </c>
      <c r="BA11" s="8"/>
      <c r="BB11" s="57" t="s">
        <v>57</v>
      </c>
      <c r="BC11" s="38"/>
      <c r="BD11" s="50" t="s">
        <v>56</v>
      </c>
      <c r="BE11" s="50"/>
    </row>
    <row r="12" spans="2:60" ht="16" thickBot="1">
      <c r="I12" s="116" t="s">
        <v>142</v>
      </c>
      <c r="J12" s="113"/>
      <c r="K12" s="113"/>
      <c r="L12" s="113"/>
      <c r="M12" s="113"/>
      <c r="N12" s="114"/>
      <c r="O12" s="113"/>
      <c r="P12" s="113"/>
      <c r="Q12" s="113"/>
      <c r="R12" s="113"/>
      <c r="S12" s="113"/>
      <c r="T12" s="113"/>
      <c r="U12" s="113"/>
      <c r="V12" s="113"/>
      <c r="W12" s="113"/>
      <c r="X12" s="113"/>
      <c r="Y12" s="113"/>
      <c r="Z12" s="117" t="b">
        <f ca="1">RAND()&lt;dropout_active</f>
        <v>0</v>
      </c>
      <c r="AA12" s="117" t="b">
        <f ca="1">RAND()&lt;dropout_active</f>
        <v>0</v>
      </c>
      <c r="AB12" s="117" t="b">
        <f ca="1">RAND()&lt;dropout_active</f>
        <v>0</v>
      </c>
      <c r="AC12" s="173"/>
      <c r="AD12" s="173"/>
      <c r="AE12" s="115"/>
      <c r="AF12" s="115"/>
      <c r="AG12" s="115"/>
      <c r="AH12" s="115"/>
      <c r="AI12" s="115"/>
      <c r="AJ12" s="115"/>
      <c r="AK12" s="113"/>
      <c r="AL12" s="113"/>
      <c r="AM12" s="113"/>
      <c r="AN12" s="113"/>
      <c r="AO12" s="113"/>
      <c r="AP12" s="117" t="b">
        <f ca="1">RAND()&lt;dropout_active</f>
        <v>0</v>
      </c>
      <c r="AQ12" s="117" t="b">
        <f ca="1">RAND()&lt;dropout_active</f>
        <v>0</v>
      </c>
      <c r="AR12" s="173"/>
      <c r="AS12" s="173"/>
      <c r="AT12" s="173"/>
      <c r="AU12" s="173"/>
      <c r="AV12" s="117"/>
      <c r="AW12" s="113"/>
      <c r="AX12" s="113"/>
      <c r="AY12" s="113"/>
      <c r="AZ12" s="113"/>
      <c r="BA12" s="113"/>
      <c r="BB12" s="113"/>
      <c r="BC12" s="113"/>
      <c r="BD12" s="113"/>
      <c r="BE12" s="113"/>
    </row>
    <row r="13" spans="2:60" ht="33" thickBot="1">
      <c r="B13" s="39" t="s">
        <v>5</v>
      </c>
      <c r="C13" s="2" t="s">
        <v>4</v>
      </c>
      <c r="D13" s="2" t="s">
        <v>3</v>
      </c>
      <c r="E13" s="2" t="s">
        <v>2</v>
      </c>
      <c r="F13" s="2" t="s">
        <v>1</v>
      </c>
      <c r="G13" s="2" t="s">
        <v>0</v>
      </c>
      <c r="H13" s="40"/>
      <c r="I13" s="42"/>
      <c r="J13" s="42"/>
      <c r="K13" s="71" t="s">
        <v>17</v>
      </c>
      <c r="L13" s="55" t="s">
        <v>18</v>
      </c>
      <c r="M13" s="71"/>
      <c r="N13" s="41" t="s">
        <v>0</v>
      </c>
      <c r="O13" s="41" t="s">
        <v>10</v>
      </c>
      <c r="P13" s="41" t="s">
        <v>6</v>
      </c>
      <c r="Q13" s="41" t="s">
        <v>7</v>
      </c>
      <c r="R13" s="41" t="s">
        <v>8</v>
      </c>
      <c r="S13" s="41" t="s">
        <v>9</v>
      </c>
      <c r="T13" s="42"/>
      <c r="U13" s="73"/>
      <c r="V13" s="43" t="s">
        <v>60</v>
      </c>
      <c r="W13" s="44" t="s">
        <v>61</v>
      </c>
      <c r="X13" s="45" t="s">
        <v>62</v>
      </c>
      <c r="Y13" s="40"/>
      <c r="Z13" s="59" t="s">
        <v>14</v>
      </c>
      <c r="AA13" s="59" t="s">
        <v>15</v>
      </c>
      <c r="AB13" s="59" t="s">
        <v>20</v>
      </c>
      <c r="AC13" s="46"/>
      <c r="AD13" s="59" t="s">
        <v>11</v>
      </c>
      <c r="AE13" s="59" t="s">
        <v>12</v>
      </c>
      <c r="AF13" s="59" t="s">
        <v>13</v>
      </c>
      <c r="AG13" s="59" t="s">
        <v>21</v>
      </c>
      <c r="AH13" s="59" t="s">
        <v>146</v>
      </c>
      <c r="AI13" s="59" t="s">
        <v>147</v>
      </c>
      <c r="AJ13" s="59" t="s">
        <v>148</v>
      </c>
      <c r="AK13" s="46"/>
      <c r="AL13" s="47"/>
      <c r="AM13" s="77" t="s">
        <v>63</v>
      </c>
      <c r="AN13" s="78" t="s">
        <v>64</v>
      </c>
      <c r="AO13" s="40"/>
      <c r="AP13" s="61" t="s">
        <v>19</v>
      </c>
      <c r="AQ13" s="61" t="s">
        <v>22</v>
      </c>
      <c r="AR13" s="48"/>
      <c r="AS13" s="63" t="s">
        <v>23</v>
      </c>
      <c r="AT13" s="61" t="s">
        <v>24</v>
      </c>
      <c r="AU13" s="61" t="s">
        <v>25</v>
      </c>
      <c r="AV13" s="61" t="s">
        <v>144</v>
      </c>
      <c r="AW13" s="61" t="s">
        <v>143</v>
      </c>
      <c r="AX13" s="48"/>
      <c r="AY13" s="49"/>
      <c r="AZ13" s="79" t="s">
        <v>65</v>
      </c>
      <c r="BA13" s="40"/>
      <c r="BB13" s="64" t="s">
        <v>26</v>
      </c>
      <c r="BC13" s="51"/>
      <c r="BD13" s="64" t="s">
        <v>27</v>
      </c>
      <c r="BE13" s="64" t="s">
        <v>145</v>
      </c>
      <c r="BF13" s="40"/>
      <c r="BG13" s="40"/>
      <c r="BH13" s="3"/>
    </row>
    <row r="14" spans="2:60" ht="15" customHeight="1">
      <c r="B14" s="1">
        <v>1</v>
      </c>
      <c r="C14" s="6">
        <v>3.1430118097698618</v>
      </c>
      <c r="D14" s="6">
        <v>-11.608055439879891</v>
      </c>
      <c r="E14" s="6">
        <v>-6.0330865766167037</v>
      </c>
      <c r="F14" s="6">
        <v>4.3283287016630014</v>
      </c>
      <c r="G14" s="106">
        <f>IFERROR((1+EXP(-(3*(C14/D14)-0.5*(E14/F14) )))^-1,1)</f>
        <v>0.47119355189072681</v>
      </c>
      <c r="I14" s="72">
        <v>0.40758501071251341</v>
      </c>
      <c r="J14" s="10">
        <f t="shared" ref="J14:J45" si="0">RANK(I14,shuffle,0)</f>
        <v>59</v>
      </c>
      <c r="K14" s="10">
        <f t="shared" ref="K14:K45" si="1">CEILING(B14/batch_size,1)</f>
        <v>1</v>
      </c>
      <c r="L14" s="10">
        <f t="shared" ref="L14:L45" si="2">(K14=batch_num)/1</f>
        <v>1</v>
      </c>
      <c r="M14" s="10"/>
      <c r="N14" s="182">
        <f ca="1">(INDEX(INDIRECT(N$13),$J14,1)-MIN(INDIRECT(N$13)))/(MAX(INDIRECT(N$13))-MIN(INDIRECT(N$13)))</f>
        <v>0.99996853664697427</v>
      </c>
      <c r="O14" s="11">
        <v>1</v>
      </c>
      <c r="P14" s="11">
        <f t="shared" ref="P14:S33" ca="1" si="3">(INDEX(INDIRECT(P$13),$J14,1)-MIN(INDIRECT(P$13)))/(MAX(INDIRECT(P$13))-MIN(INDIRECT(P$13)))</f>
        <v>0.39894908972524351</v>
      </c>
      <c r="Q14" s="11">
        <f t="shared" ca="1" si="3"/>
        <v>0.48002782785062331</v>
      </c>
      <c r="R14" s="11">
        <f t="shared" ca="1" si="3"/>
        <v>0.62846005606508804</v>
      </c>
      <c r="S14" s="11">
        <f t="shared" ca="1" si="3"/>
        <v>0.43967682306984784</v>
      </c>
      <c r="T14" s="10"/>
      <c r="U14" s="155" t="s">
        <v>54</v>
      </c>
      <c r="V14" s="74">
        <v>0.4240858447087138</v>
      </c>
      <c r="W14" s="75">
        <v>-0.12175627107176909</v>
      </c>
      <c r="X14" s="76">
        <v>-0.61421067988945766</v>
      </c>
      <c r="Z14" s="60">
        <f ca="1">IF(neural_net!Z$12,0,MMULT($O14:$S14,V$14:V$18))</f>
        <v>0.51783611957192222</v>
      </c>
      <c r="AA14" s="60">
        <f ca="1">IF(neural_net!AA$12,0,MMULT($O14:$S14,W$14:W$18))</f>
        <v>-1.3886731993069432</v>
      </c>
      <c r="AB14" s="60">
        <f ca="1">IF(neural_net!AB$12,0,MMULT($O14:$S14,X$14:X$18))</f>
        <v>-0.96354421464479167</v>
      </c>
      <c r="AC14" s="58"/>
      <c r="AD14" s="60">
        <v>1</v>
      </c>
      <c r="AE14" s="60">
        <f t="shared" ref="AE14:AE45" ca="1" si="4" xml:space="preserve">
IF(activation_2="Sigmoid",(1+EXP(-Z14))^-1,
IF(activation_2="Tanh",TANH(Z14),
IF(activation_2="Leaky ReLU",MAX(Z14,0),
IF(activation_2="Exponential",EXP(Z14),0)
)))</f>
        <v>0.47602819789398337</v>
      </c>
      <c r="AF14" s="60">
        <f t="shared" ref="AF14:AF45" ca="1" si="5" xml:space="preserve">
IF(activation_2="Sigmoid",(1+EXP(-AA14))^-1,
IF(activation_2="Tanh",TANH(AA14),
IF(activation_2="Leaky ReLU",MAX(AA14,0),
IF(activation_2="Exponential",EXP(AA14),0)
)))</f>
        <v>-0.88287863829604296</v>
      </c>
      <c r="AG14" s="60">
        <f t="shared" ref="AG14:AG45" ca="1" si="6" xml:space="preserve">
IF(activation_2="Sigmoid",(1+EXP(-AB14))^-1,
IF(activation_2="Tanh",TANH(AB14),
IF(activation_2="Leaky ReLU",MAX(AB14,0),
IF(activation_2="Exponential",EXP(AB14),0)
)))</f>
        <v>-0.74585360535373835</v>
      </c>
      <c r="AH14" s="60">
        <f t="shared" ref="AH14:AH45" ca="1" si="7" xml:space="preserve">
IF(activation_2="Sigmoid",AE14*(1-AE14),
IF(activation_2="Tanh",1-TANH(AE14)^2,
IF(activation_2="Leaky ReLU",IF(AE14&gt;0.01,1,0),
IF(activation_2="Exponential",AE14*EXP(AE14),0)
)))</f>
        <v>0.80370041017587268</v>
      </c>
      <c r="AI14" s="60">
        <f t="shared" ref="AI14:AI45" ca="1" si="8" xml:space="preserve">
IF(activation_2="Sigmoid",AF14*(1-AF14),
IF(activation_2="Tanh",1-TANH(AF14)^2,
IF(activation_2="Leaky ReLU",IF(AF14&gt;0.01,1,0),
IF(activation_2="Exponential",AF14*EXP(AF14),0)
)))</f>
        <v>0.49893633513325242</v>
      </c>
      <c r="AJ14" s="60">
        <f t="shared" ref="AJ14:AJ45" ca="1" si="9" xml:space="preserve">
IF(activation_2="Sigmoid",AG14*(1-AG14),
IF(activation_2="Tanh",1-TANH(AG14)^2,
IF(activation_2="Leaky ReLU",IF(AG14&gt;0.01,1,0),
IF(activation_2="Exponential",AG14*EXP(AG14),0)
)))</f>
        <v>0.59973024694706489</v>
      </c>
      <c r="AK14" s="25"/>
      <c r="AL14" s="153" t="s">
        <v>54</v>
      </c>
      <c r="AM14" s="26">
        <v>1.2436761917251915</v>
      </c>
      <c r="AN14" s="27">
        <v>-0.65412227743516349</v>
      </c>
      <c r="AP14" s="62">
        <f ca="1">IF(neural_net!AP$12,0,MMULT($AD14:$AG14,AM$14:AM$17))</f>
        <v>0.39302350759810012</v>
      </c>
      <c r="AQ14" s="62">
        <f ca="1">IF(neural_net!AQ$12,0,MMULT($AD14:$AG14,AN$14:AN$17))</f>
        <v>0.71094329898332087</v>
      </c>
      <c r="AR14" s="24"/>
      <c r="AS14" s="62">
        <v>1</v>
      </c>
      <c r="AT14" s="62">
        <f ca="1" xml:space="preserve">
IF(activation_3="Sigmoid",(1+EXP(-AP14))^-1,
IF(activation_3="Tanh",TANH(AP14),
IF(activation_3="Leaky ReLU",MAX(AP14,0),
IF(activation_3="Exponential",EXP(AP14),0)
)))</f>
        <v>0.39302350759810012</v>
      </c>
      <c r="AU14" s="62">
        <f t="shared" ref="AU14:AU45" ca="1" si="10" xml:space="preserve">
IF(activation_3="Sigmoid",(1+EXP(-AQ14))^-1,
IF(activation_3="Tanh",TANH(AQ14),
IF(activation_3="Leaky ReLU",MAX(AQ14,0),
IF(activation_3="Exponential",EXP(AQ14),0)
)))</f>
        <v>0.71094329898332087</v>
      </c>
      <c r="AV14" s="118">
        <f t="shared" ref="AV14:AV45" ca="1" si="11" xml:space="preserve">
IF(activation_3="Sigmoid",AT14*(1-AT14),
IF(activation_3="Tanh",1-TANH(AT14)^2,
IF(activation_3="Leaky ReLU",IF(AT14&gt;0.01,1,0),
IF(activation_3="Exponential",AT14*EXP(AT14),0)
)))</f>
        <v>1</v>
      </c>
      <c r="AW14" s="118">
        <f t="shared" ref="AW14:AW45" ca="1" si="12" xml:space="preserve">
IF(activation_3="Sigmoid",AU14*(1-AU14),
IF(activation_3="Tanh",1-TANH(AU14)^2,
IF(activation_3="Leaky ReLU",IF(AU14&gt;0.01,1,0),
IF(activation_3="Exponential",AU14*EXP(AU14),0)
)))</f>
        <v>1</v>
      </c>
      <c r="AX14" s="24"/>
      <c r="AY14" s="146" t="s">
        <v>16</v>
      </c>
      <c r="AZ14" s="32">
        <v>0.22783676766979485</v>
      </c>
      <c r="BB14" s="65">
        <f t="shared" ref="BB14:BB45" ca="1" si="13">MMULT($AS14:$AU14,AZ$14:AZ$16)</f>
        <v>0.21309177843150329</v>
      </c>
      <c r="BC14" s="36"/>
      <c r="BD14" s="65">
        <f ca="1" xml:space="preserve">
IF(activation_4="Sigmoid",(1+EXP(-BB14))^-1,
IF(activation_4="Tanh",TANH(BB14),
IF(activation_4="Leaky ReLU",MAX(BB14,0),
IF(activation_4="Exponential",EXP(BB14),0)
)))</f>
        <v>0.55307227048868102</v>
      </c>
      <c r="BE14" s="65">
        <f t="shared" ref="BE14:BE45" ca="1" si="14" xml:space="preserve">
IF(activation_4="Sigmoid",BD14*(1-BD14),
IF(activation_4="Tanh",1-TANH(BD14)^2,
IF(activation_4="Leaky ReLU",IF(BD14&gt;0.01,1,0),
IF(activation_4="Exponential",AT14*EXP(AT14),0)
)))</f>
        <v>0.24718333410517629</v>
      </c>
      <c r="BF14" s="183">
        <f ca="1">((MAX(y)-MIN(y))*N14)+MIN(y)</f>
        <v>0.99996853664697427</v>
      </c>
      <c r="BG14" s="183">
        <f ca="1">((MAX(y)-MIN(y))*BD14)+MIN(y)</f>
        <v>0.55307227048868102</v>
      </c>
      <c r="BH14" s="3"/>
    </row>
    <row r="15" spans="2:60">
      <c r="B15" s="1">
        <v>2</v>
      </c>
      <c r="C15" s="6">
        <v>16.477358183690608</v>
      </c>
      <c r="D15" s="6">
        <v>1.0285318069386431</v>
      </c>
      <c r="E15" s="6">
        <v>-2.3388514746461793</v>
      </c>
      <c r="F15" s="6">
        <v>14.016981065555695</v>
      </c>
      <c r="G15" s="106">
        <f t="shared" ref="G15:G78" si="15">IFERROR((1+EXP(-(3*(C15/D15)-0.5*(E15/F15) )))^-1,1)</f>
        <v>1</v>
      </c>
      <c r="I15" s="72">
        <v>0.17822607730246398</v>
      </c>
      <c r="J15" s="10">
        <f t="shared" si="0"/>
        <v>78</v>
      </c>
      <c r="K15" s="10">
        <f t="shared" si="1"/>
        <v>1</v>
      </c>
      <c r="L15" s="10">
        <f t="shared" si="2"/>
        <v>1</v>
      </c>
      <c r="M15" s="10"/>
      <c r="N15" s="182">
        <f t="shared" ref="N15:N78" ca="1" si="16">(INDEX(INDIRECT(N$13),$J15,1)-MIN(INDIRECT(N$13)))/(MAX(INDIRECT(N$13))-MIN(INDIRECT(N$13)))</f>
        <v>0.27605112216355943</v>
      </c>
      <c r="O15" s="11">
        <v>1</v>
      </c>
      <c r="P15" s="11">
        <f t="shared" ca="1" si="3"/>
        <v>0.39624470441863596</v>
      </c>
      <c r="Q15" s="11">
        <f t="shared" ca="1" si="3"/>
        <v>0.68539021438703451</v>
      </c>
      <c r="R15" s="11">
        <f t="shared" ca="1" si="3"/>
        <v>0.17335841431310739</v>
      </c>
      <c r="S15" s="11">
        <f t="shared" ca="1" si="3"/>
        <v>0.65273618129731681</v>
      </c>
      <c r="T15" s="10"/>
      <c r="U15" s="156"/>
      <c r="V15" s="15">
        <v>-0.12730820570254855</v>
      </c>
      <c r="W15" s="16">
        <v>-0.85550400690861583</v>
      </c>
      <c r="X15" s="17">
        <v>0.88449403254690628</v>
      </c>
      <c r="Z15" s="60">
        <f ca="1">IF(neural_net!Z$12,0,MMULT($O15:$S15,V$14:V$18))</f>
        <v>0.50757912317941445</v>
      </c>
      <c r="AA15" s="60">
        <f ca="1">IF(neural_net!AA$12,0,MMULT($O15:$S15,W$14:W$18))</f>
        <v>-1.5981930895882563</v>
      </c>
      <c r="AB15" s="60">
        <f ca="1">IF(neural_net!AB$12,0,MMULT($O15:$S15,X$14:X$18))</f>
        <v>-0.72957650462021895</v>
      </c>
      <c r="AC15" s="58"/>
      <c r="AD15" s="60">
        <v>1</v>
      </c>
      <c r="AE15" s="60">
        <f t="shared" ca="1" si="4"/>
        <v>0.46805682442693519</v>
      </c>
      <c r="AF15" s="60">
        <f t="shared" ca="1" si="5"/>
        <v>-0.92139611204440763</v>
      </c>
      <c r="AG15" s="60">
        <f t="shared" ca="1" si="6"/>
        <v>-0.62280619114857794</v>
      </c>
      <c r="AH15" s="60">
        <f t="shared" ca="1" si="7"/>
        <v>0.80935605149901491</v>
      </c>
      <c r="AI15" s="60">
        <f t="shared" ca="1" si="8"/>
        <v>0.47211462263620807</v>
      </c>
      <c r="AJ15" s="60">
        <f t="shared" ca="1" si="9"/>
        <v>0.69410379774361786</v>
      </c>
      <c r="AK15" s="25"/>
      <c r="AL15" s="153"/>
      <c r="AM15" s="28">
        <v>-0.74615768157751838</v>
      </c>
      <c r="AN15" s="29">
        <v>0.77375594732337083</v>
      </c>
      <c r="AP15" s="62">
        <f ca="1">IF(neural_net!AP$12,0,MMULT($AD15:$AG15,AM$14:AM$17))</f>
        <v>0.55344408817169388</v>
      </c>
      <c r="AQ15" s="62">
        <f ca="1">IF(neural_net!AQ$12,0,MMULT($AD15:$AG15,AN$14:AN$17))</f>
        <v>0.59655386571577651</v>
      </c>
      <c r="AR15" s="24"/>
      <c r="AS15" s="62">
        <v>1</v>
      </c>
      <c r="AT15" s="62">
        <f t="shared" ref="AT15:AT45" ca="1" si="17" xml:space="preserve">
IF(activation_3="Sigmoid",(1+EXP(-AP15))^-1,
IF(activation_3="Tanh",TANH(AP15),
IF(activation_3="Leaky ReLU",MAX(AP15,0),
IF(activation_3="Exponential",EXP(AP15),0)
)))</f>
        <v>0.55344408817169388</v>
      </c>
      <c r="AU15" s="62">
        <f t="shared" ca="1" si="10"/>
        <v>0.59655386571577651</v>
      </c>
      <c r="AV15" s="118">
        <f t="shared" ca="1" si="11"/>
        <v>1</v>
      </c>
      <c r="AW15" s="118">
        <f t="shared" ca="1" si="12"/>
        <v>1</v>
      </c>
      <c r="AX15" s="24"/>
      <c r="AY15" s="147"/>
      <c r="AZ15" s="33">
        <v>-0.43249603462212549</v>
      </c>
      <c r="BB15" s="65">
        <f t="shared" ca="1" si="13"/>
        <v>0.11873331522930911</v>
      </c>
      <c r="BC15" s="36"/>
      <c r="BD15" s="65">
        <f t="shared" ref="BD14:BD45" ca="1" si="18" xml:space="preserve">
IF(activation_4="Sigmoid",(1+EXP(-BB15))^-1,
IF(activation_4="Tanh",TANH(BB15),
IF(activation_4="Leaky ReLU",MAX(BB15,0),
IF(activation_4="Exponential",EXP(BB15),0)
)))</f>
        <v>0.52964850592337054</v>
      </c>
      <c r="BE15" s="65">
        <f t="shared" ca="1" si="14"/>
        <v>0.24912096609651185</v>
      </c>
      <c r="BF15" s="183">
        <f t="shared" ref="BF14:BF45" ca="1" si="19">((MAX(y)-MIN(y))*N15)+MIN(y)</f>
        <v>0.27605112216355943</v>
      </c>
      <c r="BG15" s="183">
        <f ca="1">((MAX(y)-MIN(y))*BD15)+MIN(y)</f>
        <v>0.52964850592337054</v>
      </c>
    </row>
    <row r="16" spans="2:60" ht="16" thickBot="1">
      <c r="B16" s="1">
        <v>3</v>
      </c>
      <c r="C16" s="6">
        <v>-1.9651809578813382</v>
      </c>
      <c r="D16" s="6">
        <v>-1.6594707932794581</v>
      </c>
      <c r="E16" s="6">
        <v>-3.1876926817600082</v>
      </c>
      <c r="F16" s="6">
        <v>-0.15750184279411822</v>
      </c>
      <c r="G16" s="106">
        <f t="shared" si="15"/>
        <v>1.4042082439124522E-3</v>
      </c>
      <c r="I16" s="72">
        <v>0.87255056845489631</v>
      </c>
      <c r="J16" s="10">
        <f t="shared" si="0"/>
        <v>14</v>
      </c>
      <c r="K16" s="10">
        <f t="shared" si="1"/>
        <v>1</v>
      </c>
      <c r="L16" s="10">
        <f t="shared" si="2"/>
        <v>1</v>
      </c>
      <c r="M16" s="10"/>
      <c r="N16" s="182">
        <f t="shared" ca="1" si="16"/>
        <v>1.2314339816278418E-47</v>
      </c>
      <c r="O16" s="11">
        <v>1</v>
      </c>
      <c r="P16" s="11">
        <f t="shared" ca="1" si="3"/>
        <v>0.19557765511357869</v>
      </c>
      <c r="Q16" s="11">
        <f t="shared" ca="1" si="3"/>
        <v>0.52457540317593077</v>
      </c>
      <c r="R16" s="11">
        <f t="shared" ca="1" si="3"/>
        <v>0.25082303797001881</v>
      </c>
      <c r="S16" s="11">
        <f t="shared" ca="1" si="3"/>
        <v>0.32993949775893372</v>
      </c>
      <c r="T16" s="10"/>
      <c r="U16" s="156"/>
      <c r="V16" s="15">
        <v>0.59179894649415798</v>
      </c>
      <c r="W16" s="16">
        <v>-0.83763063712488028</v>
      </c>
      <c r="X16" s="17">
        <v>0.2740779326138334</v>
      </c>
      <c r="Z16" s="60">
        <f ca="1">IF(neural_net!Z$12,0,MMULT($O16:$S16,V$14:V$18))</f>
        <v>0.58616663349395504</v>
      </c>
      <c r="AA16" s="60">
        <f ca="1">IF(neural_net!AA$12,0,MMULT($O16:$S16,W$14:W$18))</f>
        <v>-1.0591760106997301</v>
      </c>
      <c r="AB16" s="60">
        <f ca="1">IF(neural_net!AB$12,0,MMULT($O16:$S16,X$14:X$18))</f>
        <v>-0.75335547549834359</v>
      </c>
      <c r="AC16" s="58"/>
      <c r="AD16" s="60">
        <v>1</v>
      </c>
      <c r="AE16" s="60">
        <f t="shared" ca="1" si="4"/>
        <v>0.52713301144412361</v>
      </c>
      <c r="AF16" s="60">
        <f t="shared" ca="1" si="5"/>
        <v>-0.7853482874835177</v>
      </c>
      <c r="AG16" s="60">
        <f t="shared" ca="1" si="6"/>
        <v>-0.63714651669016575</v>
      </c>
      <c r="AH16" s="60">
        <f t="shared" ca="1" si="7"/>
        <v>0.76653080455917832</v>
      </c>
      <c r="AI16" s="60">
        <f t="shared" ca="1" si="8"/>
        <v>0.56997124738703497</v>
      </c>
      <c r="AJ16" s="60">
        <f t="shared" ca="1" si="9"/>
        <v>0.6830833373649553</v>
      </c>
      <c r="AK16" s="25"/>
      <c r="AL16" s="153"/>
      <c r="AM16" s="28">
        <v>-0.39492683704750725</v>
      </c>
      <c r="AN16" s="29">
        <v>-0.30523466976186087</v>
      </c>
      <c r="AP16" s="62">
        <f ca="1">IF(neural_net!AP$12,0,MMULT($AD16:$AG16,AM$14:AM$17))</f>
        <v>0.43940508243663312</v>
      </c>
      <c r="AQ16" s="62">
        <f ca="1">IF(neural_net!AQ$12,0,MMULT($AD16:$AG16,AN$14:AN$17))</f>
        <v>0.61472055758321065</v>
      </c>
      <c r="AR16" s="24"/>
      <c r="AS16" s="62">
        <v>1</v>
      </c>
      <c r="AT16" s="62">
        <f t="shared" ca="1" si="17"/>
        <v>0.43940508243663312</v>
      </c>
      <c r="AU16" s="62">
        <f t="shared" ca="1" si="10"/>
        <v>0.61472055758321065</v>
      </c>
      <c r="AV16" s="118">
        <f t="shared" ca="1" si="11"/>
        <v>1</v>
      </c>
      <c r="AW16" s="118">
        <f t="shared" ca="1" si="12"/>
        <v>1</v>
      </c>
      <c r="AX16" s="24"/>
      <c r="AY16" s="148"/>
      <c r="AZ16" s="34">
        <v>0.21835232082946671</v>
      </c>
      <c r="BB16" s="65">
        <f t="shared" ca="1" si="13"/>
        <v>0.17202147233302076</v>
      </c>
      <c r="BC16" s="36"/>
      <c r="BD16" s="65">
        <f t="shared" ca="1" si="18"/>
        <v>0.54289963191957602</v>
      </c>
      <c r="BE16" s="65">
        <f t="shared" ca="1" si="14"/>
        <v>0.24815962158116489</v>
      </c>
      <c r="BF16" s="183">
        <f t="shared" ca="1" si="19"/>
        <v>1.3200493793306546E-47</v>
      </c>
      <c r="BG16" s="183">
        <f t="shared" ref="BG16:BG45" ca="1" si="20">((MAX(y)-MIN(y))*BD16)+MIN(y)</f>
        <v>0.54289963191957602</v>
      </c>
      <c r="BH16" s="3"/>
    </row>
    <row r="17" spans="2:59" ht="16" thickBot="1">
      <c r="B17" s="1">
        <v>4</v>
      </c>
      <c r="C17" s="6">
        <v>-0.72501926109239656</v>
      </c>
      <c r="D17" s="6">
        <v>8.4307428992301343</v>
      </c>
      <c r="E17" s="6">
        <v>8.2783243744396735</v>
      </c>
      <c r="F17" s="6">
        <v>-13.79996090553796</v>
      </c>
      <c r="G17" s="106">
        <f t="shared" si="15"/>
        <v>0.51048568798858818</v>
      </c>
      <c r="I17" s="72">
        <v>0.38943107303108826</v>
      </c>
      <c r="J17" s="10">
        <f t="shared" si="0"/>
        <v>60</v>
      </c>
      <c r="K17" s="10">
        <f t="shared" si="1"/>
        <v>1</v>
      </c>
      <c r="L17" s="10">
        <f t="shared" si="2"/>
        <v>1</v>
      </c>
      <c r="M17" s="10"/>
      <c r="N17" s="182">
        <f t="shared" ca="1" si="16"/>
        <v>0.36649067727779833</v>
      </c>
      <c r="O17" s="11">
        <v>1</v>
      </c>
      <c r="P17" s="11">
        <f t="shared" ca="1" si="3"/>
        <v>0.93772602888869072</v>
      </c>
      <c r="Q17" s="11">
        <f t="shared" ca="1" si="3"/>
        <v>0.16453677106371487</v>
      </c>
      <c r="R17" s="11">
        <f t="shared" ca="1" si="3"/>
        <v>0.51629049920125636</v>
      </c>
      <c r="S17" s="11">
        <f t="shared" ca="1" si="3"/>
        <v>0.46813327664317761</v>
      </c>
      <c r="T17" s="10"/>
      <c r="U17" s="156"/>
      <c r="V17" s="18">
        <v>8.492935979038406E-2</v>
      </c>
      <c r="W17" s="19">
        <v>-0.28154925042239926</v>
      </c>
      <c r="X17" s="20">
        <v>-0.76891824164008504</v>
      </c>
      <c r="Z17" s="60">
        <f ca="1">IF(neural_net!Z$12,0,MMULT($O17:$S17,V$14:V$18))</f>
        <v>0.24052592789575047</v>
      </c>
      <c r="AA17" s="60">
        <f ca="1">IF(neural_net!AA$12,0,MMULT($O17:$S17,W$14:W$18))</f>
        <v>-1.576184289144454</v>
      </c>
      <c r="AB17" s="60">
        <f ca="1">IF(neural_net!AB$12,0,MMULT($O17:$S17,X$14:X$18))</f>
        <v>-0.50990604704796294</v>
      </c>
      <c r="AC17" s="58"/>
      <c r="AD17" s="60">
        <v>1</v>
      </c>
      <c r="AE17" s="60">
        <f t="shared" ca="1" si="4"/>
        <v>0.23599244883066656</v>
      </c>
      <c r="AF17" s="60">
        <f t="shared" ca="1" si="5"/>
        <v>-0.91800389800560189</v>
      </c>
      <c r="AG17" s="60">
        <f t="shared" ca="1" si="6"/>
        <v>-0.46987199211652297</v>
      </c>
      <c r="AH17" s="60">
        <f t="shared" ca="1" si="7"/>
        <v>0.94631191497393974</v>
      </c>
      <c r="AI17" s="60">
        <f t="shared" ca="1" si="8"/>
        <v>0.47444496884871878</v>
      </c>
      <c r="AJ17" s="60">
        <f t="shared" ca="1" si="9"/>
        <v>0.80807199900914384</v>
      </c>
      <c r="AK17" s="25"/>
      <c r="AL17" s="154"/>
      <c r="AM17" s="30">
        <v>1.1317677486317297</v>
      </c>
      <c r="AN17" s="31">
        <v>-0.9750583122265376</v>
      </c>
      <c r="AP17" s="62">
        <f ca="1">IF(neural_net!AP$12,0,MMULT($AD17:$AG17,AM$14:AM$17))</f>
        <v>0.89834702240971187</v>
      </c>
      <c r="AQ17" s="62">
        <f ca="1">IF(neural_net!AQ$12,0,MMULT($AD17:$AG17,AN$14:AN$17))</f>
        <v>0.26683749161446979</v>
      </c>
      <c r="AR17" s="24"/>
      <c r="AS17" s="62">
        <v>1</v>
      </c>
      <c r="AT17" s="62">
        <f t="shared" ca="1" si="17"/>
        <v>0.89834702240971187</v>
      </c>
      <c r="AU17" s="62">
        <f t="shared" ca="1" si="10"/>
        <v>0.26683749161446979</v>
      </c>
      <c r="AV17" s="118">
        <f t="shared" ca="1" si="11"/>
        <v>1</v>
      </c>
      <c r="AW17" s="118">
        <f t="shared" ca="1" si="12"/>
        <v>1</v>
      </c>
      <c r="AX17" s="24"/>
      <c r="AY17" s="24"/>
      <c r="AZ17" s="24"/>
      <c r="BB17" s="65">
        <f t="shared" ca="1" si="13"/>
        <v>-0.10243017165866641</v>
      </c>
      <c r="BC17" s="36"/>
      <c r="BD17" s="65">
        <f t="shared" ca="1" si="18"/>
        <v>0.47441482301988031</v>
      </c>
      <c r="BE17" s="65">
        <f t="shared" ca="1" si="14"/>
        <v>0.24934539871889594</v>
      </c>
      <c r="BF17" s="183">
        <f t="shared" ca="1" si="19"/>
        <v>0.36649067727779833</v>
      </c>
      <c r="BG17" s="183">
        <f t="shared" ca="1" si="20"/>
        <v>0.47441482301988031</v>
      </c>
    </row>
    <row r="18" spans="2:59" ht="16" thickBot="1">
      <c r="B18" s="1">
        <v>5</v>
      </c>
      <c r="C18" s="6">
        <v>-13.89236484528136</v>
      </c>
      <c r="D18" s="6">
        <v>7.6698542724141028</v>
      </c>
      <c r="E18" s="6">
        <v>2.2039475500470997</v>
      </c>
      <c r="F18" s="6">
        <v>-18.114904679168447</v>
      </c>
      <c r="G18" s="106">
        <f t="shared" si="15"/>
        <v>4.618523192735426E-3</v>
      </c>
      <c r="I18" s="72">
        <v>0.903947660845283</v>
      </c>
      <c r="J18" s="10">
        <f t="shared" si="0"/>
        <v>12</v>
      </c>
      <c r="K18" s="10">
        <f t="shared" si="1"/>
        <v>1</v>
      </c>
      <c r="L18" s="10">
        <f t="shared" si="2"/>
        <v>1</v>
      </c>
      <c r="M18" s="10"/>
      <c r="N18" s="182">
        <f t="shared" ca="1" si="16"/>
        <v>0.99934506511996501</v>
      </c>
      <c r="O18" s="11">
        <v>1</v>
      </c>
      <c r="P18" s="11">
        <f t="shared" ca="1" si="3"/>
        <v>0.34063599718845328</v>
      </c>
      <c r="Q18" s="11">
        <f t="shared" ca="1" si="3"/>
        <v>0.46023605674015328</v>
      </c>
      <c r="R18" s="11">
        <f t="shared" ca="1" si="3"/>
        <v>0.57366782322894427</v>
      </c>
      <c r="S18" s="11">
        <f t="shared" ca="1" si="3"/>
        <v>0.84351954293092946</v>
      </c>
      <c r="T18" s="10"/>
      <c r="U18" s="157"/>
      <c r="V18" s="21">
        <v>-0.43876523678364043</v>
      </c>
      <c r="W18" s="22">
        <v>-0.78827423291741172</v>
      </c>
      <c r="X18" s="23">
        <v>-0.79724979557418518</v>
      </c>
      <c r="Z18" s="60">
        <f ca="1">IF(neural_net!Z$12,0,MMULT($O18:$S18,V$14:V$18))</f>
        <v>0.33170148959986173</v>
      </c>
      <c r="AA18" s="60">
        <f ca="1">IF(neural_net!AA$12,0,MMULT($O18:$S18,W$14:W$18))</f>
        <v>-1.6251200192751827</v>
      </c>
      <c r="AB18" s="60">
        <f ca="1">IF(neural_net!AB$12,0,MMULT($O18:$S18,X$14:X$18))</f>
        <v>-1.3003790632471306</v>
      </c>
      <c r="AC18" s="58"/>
      <c r="AD18" s="60">
        <v>1</v>
      </c>
      <c r="AE18" s="60">
        <f t="shared" ca="1" si="4"/>
        <v>0.32004881144165009</v>
      </c>
      <c r="AF18" s="60">
        <f t="shared" ca="1" si="5"/>
        <v>-0.92536347429009946</v>
      </c>
      <c r="AG18" s="60">
        <f t="shared" ca="1" si="6"/>
        <v>-0.86182071090710366</v>
      </c>
      <c r="AH18" s="60">
        <f t="shared" ca="1" si="7"/>
        <v>0.90417814365612803</v>
      </c>
      <c r="AI18" s="60">
        <f t="shared" ca="1" si="8"/>
        <v>0.46939721608106111</v>
      </c>
      <c r="AJ18" s="60">
        <f t="shared" ca="1" si="9"/>
        <v>0.51391974521035277</v>
      </c>
      <c r="AK18" s="25"/>
      <c r="AL18" s="25"/>
      <c r="AM18" s="25"/>
      <c r="AN18" s="25"/>
      <c r="AP18" s="62">
        <f ca="1">IF(neural_net!AP$12,0,MMULT($AD18:$AG18,AM$14:AM$17))</f>
        <v>0.39493929690140139</v>
      </c>
      <c r="AQ18" s="62">
        <f ca="1">IF(neural_net!AQ$12,0,MMULT($AD18:$AG18,AN$14:AN$17))</f>
        <v>0.71629585615517133</v>
      </c>
      <c r="AR18" s="24"/>
      <c r="AS18" s="62">
        <v>1</v>
      </c>
      <c r="AT18" s="62">
        <f t="shared" ca="1" si="17"/>
        <v>0.39493929690140139</v>
      </c>
      <c r="AU18" s="62">
        <f t="shared" ca="1" si="10"/>
        <v>0.71629585615517133</v>
      </c>
      <c r="AV18" s="118">
        <f t="shared" ca="1" si="11"/>
        <v>1</v>
      </c>
      <c r="AW18" s="118">
        <f t="shared" ca="1" si="12"/>
        <v>1</v>
      </c>
      <c r="AX18" s="24"/>
      <c r="AY18" s="24"/>
      <c r="AZ18" s="24"/>
      <c r="BB18" s="65">
        <f t="shared" ca="1" si="13"/>
        <v>0.21343195043549995</v>
      </c>
      <c r="BC18" s="36"/>
      <c r="BD18" s="65">
        <f t="shared" ca="1" si="18"/>
        <v>0.55315635381997197</v>
      </c>
      <c r="BE18" s="65">
        <f t="shared" ca="1" si="14"/>
        <v>0.24717440204856594</v>
      </c>
      <c r="BF18" s="183">
        <f t="shared" ca="1" si="19"/>
        <v>0.99934506511996501</v>
      </c>
      <c r="BG18" s="183">
        <f t="shared" ca="1" si="20"/>
        <v>0.55315635381997197</v>
      </c>
    </row>
    <row r="19" spans="2:59">
      <c r="B19" s="1">
        <v>6</v>
      </c>
      <c r="C19" s="6">
        <v>11.809135816190533</v>
      </c>
      <c r="D19" s="6">
        <v>1.3290448204203176</v>
      </c>
      <c r="E19" s="6">
        <v>9.2355305005258863</v>
      </c>
      <c r="F19" s="6">
        <v>-5.240643712115344</v>
      </c>
      <c r="G19" s="106">
        <f t="shared" si="15"/>
        <v>0.99999999999890199</v>
      </c>
      <c r="I19" s="72">
        <v>0.28328033499362193</v>
      </c>
      <c r="J19" s="10">
        <f t="shared" si="0"/>
        <v>71</v>
      </c>
      <c r="K19" s="10">
        <f t="shared" si="1"/>
        <v>1</v>
      </c>
      <c r="L19" s="10">
        <f t="shared" si="2"/>
        <v>1</v>
      </c>
      <c r="M19" s="10"/>
      <c r="N19" s="182">
        <f t="shared" ca="1" si="16"/>
        <v>7.4288352551323336E-2</v>
      </c>
      <c r="O19" s="11">
        <v>1</v>
      </c>
      <c r="P19" s="11">
        <f t="shared" ca="1" si="3"/>
        <v>0.62450857644459479</v>
      </c>
      <c r="Q19" s="11">
        <f t="shared" ca="1" si="3"/>
        <v>0.45867521532376082</v>
      </c>
      <c r="R19" s="11">
        <f t="shared" ca="1" si="3"/>
        <v>0.68018358677552482</v>
      </c>
      <c r="S19" s="11">
        <f t="shared" ca="1" si="3"/>
        <v>0.73944919216494831</v>
      </c>
      <c r="T19" s="10"/>
      <c r="U19" s="10"/>
      <c r="V19" s="10"/>
      <c r="W19" s="10"/>
      <c r="X19" s="10"/>
      <c r="Z19" s="60">
        <f ca="1">IF(neural_net!Z$12,0,MMULT($O19:$S19,V$14:V$18))</f>
        <v>0.34934724428232966</v>
      </c>
      <c r="AA19" s="60">
        <f ca="1">IF(neural_net!AA$12,0,MMULT($O19:$S19,W$14:W$18))</f>
        <v>-1.8146201971554414</v>
      </c>
      <c r="AB19" s="60">
        <f ca="1">IF(neural_net!AB$12,0,MMULT($O19:$S19,X$14:X$18))</f>
        <v>-1.0486551008195932</v>
      </c>
      <c r="AC19" s="58"/>
      <c r="AD19" s="60">
        <v>1</v>
      </c>
      <c r="AE19" s="60">
        <f t="shared" ca="1" si="4"/>
        <v>0.33579651989866888</v>
      </c>
      <c r="AF19" s="60">
        <f t="shared" ca="1" si="5"/>
        <v>-0.94829927976472328</v>
      </c>
      <c r="AG19" s="60">
        <f t="shared" ca="1" si="6"/>
        <v>-0.78128293926044334</v>
      </c>
      <c r="AH19" s="60">
        <f t="shared" ca="1" si="7"/>
        <v>0.89520565212113878</v>
      </c>
      <c r="AI19" s="60">
        <f t="shared" ca="1" si="8"/>
        <v>0.45386107135288467</v>
      </c>
      <c r="AJ19" s="60">
        <f t="shared" ca="1" si="9"/>
        <v>0.5730129473259129</v>
      </c>
      <c r="AK19" s="25"/>
      <c r="AL19" s="25"/>
      <c r="AM19" s="25"/>
      <c r="AN19" s="25"/>
      <c r="AP19" s="62">
        <f ca="1">IF(neural_net!AP$12,0,MMULT($AD19:$AG19,AM$14:AM$17))</f>
        <v>0.48339704087654067</v>
      </c>
      <c r="AQ19" s="62">
        <f ca="1">IF(neural_net!AQ$12,0,MMULT($AD19:$AG19,AN$14:AN$17))</f>
        <v>0.6569525185479943</v>
      </c>
      <c r="AR19" s="24"/>
      <c r="AS19" s="62">
        <v>1</v>
      </c>
      <c r="AT19" s="62">
        <f t="shared" ca="1" si="17"/>
        <v>0.48339704087654067</v>
      </c>
      <c r="AU19" s="62">
        <f t="shared" ca="1" si="10"/>
        <v>0.6569525185479943</v>
      </c>
      <c r="AV19" s="118">
        <f t="shared" ca="1" si="11"/>
        <v>1</v>
      </c>
      <c r="AW19" s="118">
        <f t="shared" ca="1" si="12"/>
        <v>1</v>
      </c>
      <c r="AX19" s="24"/>
      <c r="AY19" s="24"/>
      <c r="AZ19" s="24"/>
      <c r="BB19" s="65">
        <f t="shared" ca="1" si="13"/>
        <v>0.16221657144233934</v>
      </c>
      <c r="BC19" s="36"/>
      <c r="BD19" s="65">
        <f t="shared" ca="1" si="18"/>
        <v>0.54046544704295152</v>
      </c>
      <c r="BE19" s="65">
        <f t="shared" ca="1" si="14"/>
        <v>0.24836254759561407</v>
      </c>
      <c r="BF19" s="183">
        <f t="shared" ca="1" si="19"/>
        <v>7.4288352551323336E-2</v>
      </c>
      <c r="BG19" s="183">
        <f t="shared" ca="1" si="20"/>
        <v>0.54046544704295152</v>
      </c>
    </row>
    <row r="20" spans="2:59">
      <c r="B20" s="1">
        <v>7</v>
      </c>
      <c r="C20" s="6">
        <v>7.1312607717346346</v>
      </c>
      <c r="D20" s="6">
        <v>-4.2931374323354197</v>
      </c>
      <c r="E20" s="6">
        <v>26.315430167436944</v>
      </c>
      <c r="F20" s="6">
        <v>-4.9715147397722044</v>
      </c>
      <c r="G20" s="106">
        <f t="shared" si="15"/>
        <v>8.8134354209133861E-2</v>
      </c>
      <c r="I20" s="72">
        <v>6.0852542742171667E-2</v>
      </c>
      <c r="J20" s="10">
        <f t="shared" si="0"/>
        <v>95</v>
      </c>
      <c r="K20" s="10">
        <f t="shared" si="1"/>
        <v>1</v>
      </c>
      <c r="L20" s="10">
        <f t="shared" si="2"/>
        <v>1</v>
      </c>
      <c r="M20" s="10"/>
      <c r="N20" s="182">
        <f t="shared" ca="1" si="16"/>
        <v>0.87308532290147156</v>
      </c>
      <c r="O20" s="11">
        <v>1</v>
      </c>
      <c r="P20" s="11">
        <f t="shared" ca="1" si="3"/>
        <v>0.42430883237727923</v>
      </c>
      <c r="Q20" s="11">
        <f t="shared" ca="1" si="3"/>
        <v>0.38406044962996683</v>
      </c>
      <c r="R20" s="11">
        <f t="shared" ca="1" si="3"/>
        <v>0.42323854072165079</v>
      </c>
      <c r="S20" s="11">
        <f t="shared" ca="1" si="3"/>
        <v>0.33567825017998487</v>
      </c>
      <c r="T20" s="10"/>
      <c r="U20" s="52"/>
      <c r="V20" s="52" t="s">
        <v>38</v>
      </c>
      <c r="W20" s="52" t="s">
        <v>39</v>
      </c>
      <c r="X20" s="52" t="s">
        <v>40</v>
      </c>
      <c r="Z20" s="60">
        <f ca="1">IF(neural_net!Z$12,0,MMULT($O20:$S20,V$14:V$18))</f>
        <v>0.48601584945487297</v>
      </c>
      <c r="AA20" s="60">
        <f ca="1">IF(neural_net!AA$12,0,MMULT($O20:$S20,W$14:W$18))</f>
        <v>-1.1902239855130021</v>
      </c>
      <c r="AB20" s="60">
        <f ca="1">IF(neural_net!AB$12,0,MMULT($O20:$S20,X$14:X$18))</f>
        <v>-0.72670480652218838</v>
      </c>
      <c r="AC20" s="58"/>
      <c r="AD20" s="60">
        <v>1</v>
      </c>
      <c r="AE20" s="60">
        <f t="shared" ca="1" si="4"/>
        <v>0.45104854640989278</v>
      </c>
      <c r="AF20" s="60">
        <f t="shared" ca="1" si="5"/>
        <v>-0.83064832220185514</v>
      </c>
      <c r="AG20" s="60">
        <f t="shared" ca="1" si="6"/>
        <v>-0.62104524436242148</v>
      </c>
      <c r="AH20" s="60">
        <f t="shared" ca="1" si="7"/>
        <v>0.82127353406254078</v>
      </c>
      <c r="AI20" s="60">
        <f t="shared" ca="1" si="8"/>
        <v>0.5364787208947781</v>
      </c>
      <c r="AJ20" s="60">
        <f t="shared" ca="1" si="9"/>
        <v>0.69545565179439461</v>
      </c>
      <c r="AK20" s="25"/>
      <c r="AL20" s="53"/>
      <c r="AM20" s="53" t="s">
        <v>28</v>
      </c>
      <c r="AN20" s="53" t="s">
        <v>29</v>
      </c>
      <c r="AP20" s="62">
        <f ca="1">IF(neural_net!AP$12,0,MMULT($AD20:$AG20,AM$14:AM$17))</f>
        <v>0.53228919063257341</v>
      </c>
      <c r="AQ20" s="62">
        <f ca="1">IF(neural_net!AQ$12,0,MMULT($AD20:$AG20,AN$14:AN$17))</f>
        <v>0.55397721198091987</v>
      </c>
      <c r="AR20" s="24"/>
      <c r="AS20" s="62">
        <v>1</v>
      </c>
      <c r="AT20" s="62">
        <f t="shared" ca="1" si="17"/>
        <v>0.53228919063257341</v>
      </c>
      <c r="AU20" s="62">
        <f t="shared" ca="1" si="10"/>
        <v>0.55397721198091987</v>
      </c>
      <c r="AV20" s="118">
        <f t="shared" ca="1" si="11"/>
        <v>1</v>
      </c>
      <c r="AW20" s="118">
        <f t="shared" ca="1" si="12"/>
        <v>1</v>
      </c>
      <c r="AX20" s="24"/>
      <c r="AY20" s="24"/>
      <c r="AZ20" s="54" t="s">
        <v>37</v>
      </c>
      <c r="BB20" s="65">
        <f t="shared" ca="1" si="13"/>
        <v>0.11858601337165754</v>
      </c>
      <c r="BC20" s="36"/>
      <c r="BD20" s="65">
        <f t="shared" ca="1" si="18"/>
        <v>0.52961180978208855</v>
      </c>
      <c r="BE20" s="65">
        <f t="shared" ca="1" si="14"/>
        <v>0.24912314072142941</v>
      </c>
      <c r="BF20" s="183">
        <f t="shared" ca="1" si="19"/>
        <v>0.87308532290147156</v>
      </c>
      <c r="BG20" s="183">
        <f t="shared" ca="1" si="20"/>
        <v>0.52961180978208855</v>
      </c>
    </row>
    <row r="21" spans="2:59" ht="16" customHeight="1">
      <c r="B21" s="1">
        <v>8</v>
      </c>
      <c r="C21" s="6">
        <v>2.4685257875231512</v>
      </c>
      <c r="D21" s="6">
        <v>-2.1487999895219909</v>
      </c>
      <c r="E21" s="6">
        <v>3.1040328762423859</v>
      </c>
      <c r="F21" s="6">
        <v>-19.945038324836862</v>
      </c>
      <c r="G21" s="106">
        <f t="shared" si="15"/>
        <v>3.3292510317403767E-2</v>
      </c>
      <c r="I21" s="72">
        <v>0.43206337455150923</v>
      </c>
      <c r="J21" s="10">
        <f t="shared" si="0"/>
        <v>58</v>
      </c>
      <c r="K21" s="10">
        <f t="shared" si="1"/>
        <v>1</v>
      </c>
      <c r="L21" s="10">
        <f t="shared" si="2"/>
        <v>1</v>
      </c>
      <c r="M21" s="10"/>
      <c r="N21" s="182">
        <f t="shared" ca="1" si="16"/>
        <v>0.90461308094278858</v>
      </c>
      <c r="O21" s="11">
        <v>1</v>
      </c>
      <c r="P21" s="11">
        <f t="shared" ca="1" si="3"/>
        <v>0.81553606013826219</v>
      </c>
      <c r="Q21" s="11">
        <f t="shared" ca="1" si="3"/>
        <v>0.80501356643376609</v>
      </c>
      <c r="R21" s="11">
        <f t="shared" ca="1" si="3"/>
        <v>0.64420830603851131</v>
      </c>
      <c r="S21" s="11">
        <f t="shared" ca="1" si="3"/>
        <v>0.29097228417220744</v>
      </c>
      <c r="T21" s="10"/>
      <c r="U21" s="10"/>
      <c r="V21" s="10">
        <f ca="1">SUMPRODUCT(d_3,theta_2_1)*SUMPRODUCT(batch_bool,a_21d)</f>
        <v>-7.5044100668365727</v>
      </c>
      <c r="W21" s="10">
        <f ca="1">SUMPRODUCT(d_3,theta_2_2)*SUMPRODUCT(batch_bool,a_22d)</f>
        <v>-0.92941565994137554</v>
      </c>
      <c r="X21" s="10">
        <f ca="1">SUMPRODUCT(d_3,theta_2_3)*SUMPRODUCT(batch_bool,a_23d)</f>
        <v>9.0448041353678637</v>
      </c>
      <c r="Z21" s="60">
        <f ca="1">IF(neural_net!Z$12,0,MMULT($O21:$S21,V$14:V$18))</f>
        <v>0.72371126857699686</v>
      </c>
      <c r="AA21" s="60">
        <f ca="1">IF(neural_net!AA$12,0,MMULT($O21:$S21,W$14:W$18))</f>
        <v>-1.9044969846317066</v>
      </c>
      <c r="AB21" s="60">
        <f ca="1">IF(neural_net!AB$12,0,MMULT($O21:$S21,X$14:X$18))</f>
        <v>-0.39955855935921036</v>
      </c>
      <c r="AC21" s="58"/>
      <c r="AD21" s="60">
        <v>1</v>
      </c>
      <c r="AE21" s="60">
        <f t="shared" ca="1" si="4"/>
        <v>0.61920288594073181</v>
      </c>
      <c r="AF21" s="60">
        <f t="shared" ca="1" si="5"/>
        <v>-0.95662079364109187</v>
      </c>
      <c r="AG21" s="60">
        <f t="shared" ca="1" si="6"/>
        <v>-0.37957118518312521</v>
      </c>
      <c r="AH21" s="60">
        <f t="shared" ca="1" si="7"/>
        <v>0.69686960536280473</v>
      </c>
      <c r="AI21" s="60">
        <f t="shared" ca="1" si="8"/>
        <v>0.44829900937140899</v>
      </c>
      <c r="AJ21" s="60">
        <f t="shared" ca="1" si="9"/>
        <v>0.8687133417464421</v>
      </c>
      <c r="AK21" s="25"/>
      <c r="AL21" s="25"/>
      <c r="AM21" s="25">
        <f ca="1">d_4*theta_311*SUMPRODUCT(batch_bool,a_31d)</f>
        <v>0.79640661362707132</v>
      </c>
      <c r="AN21" s="25">
        <f ca="1">d_4*theta_312*SUMPRODUCT(batch_bool,a_32d)</f>
        <v>-0.40207821225769741</v>
      </c>
      <c r="AP21" s="62">
        <f ca="1">IF(neural_net!AP$12,0,MMULT($AD21:$AG21,AM$14:AM$17))</f>
        <v>0.72986200051191608</v>
      </c>
      <c r="AQ21" s="62">
        <f ca="1">IF(neural_net!AQ$12,0,MMULT($AD21:$AG21,AN$14:AN$17))</f>
        <v>0.48708750939012513</v>
      </c>
      <c r="AR21" s="24"/>
      <c r="AS21" s="62">
        <v>1</v>
      </c>
      <c r="AT21" s="62">
        <f t="shared" ca="1" si="17"/>
        <v>0.72986200051191608</v>
      </c>
      <c r="AU21" s="62">
        <f t="shared" ca="1" si="10"/>
        <v>0.48708750939012513</v>
      </c>
      <c r="AV21" s="118">
        <f t="shared" ca="1" si="11"/>
        <v>1</v>
      </c>
      <c r="AW21" s="118">
        <f t="shared" ca="1" si="12"/>
        <v>1</v>
      </c>
      <c r="AX21" s="24"/>
      <c r="AY21" s="24"/>
      <c r="AZ21" s="24">
        <f ca="1">SUMPRODUCT(batch_bool,-2*(y_shuf-a_4),a_4d)</f>
        <v>-0.18414194579214971</v>
      </c>
      <c r="BA21" s="4"/>
      <c r="BB21" s="65">
        <f t="shared" ca="1" si="13"/>
        <v>1.8531034749397907E-2</v>
      </c>
      <c r="BC21" s="36"/>
      <c r="BD21" s="65">
        <f t="shared" ca="1" si="18"/>
        <v>0.5046326261180808</v>
      </c>
      <c r="BE21" s="65">
        <f t="shared" ca="1" si="14"/>
        <v>0.24997853877525009</v>
      </c>
      <c r="BF21" s="183">
        <f t="shared" ca="1" si="19"/>
        <v>0.90461308094278858</v>
      </c>
      <c r="BG21" s="183">
        <f t="shared" ca="1" si="20"/>
        <v>0.5046326261180808</v>
      </c>
    </row>
    <row r="22" spans="2:59" ht="15" customHeight="1" thickBot="1">
      <c r="B22" s="1">
        <v>9</v>
      </c>
      <c r="C22" s="6">
        <v>-8.7933993077570722</v>
      </c>
      <c r="D22" s="6">
        <v>-14.153536608788997</v>
      </c>
      <c r="E22" s="6">
        <v>7.693359221646018</v>
      </c>
      <c r="F22" s="6">
        <v>12.257177986959038</v>
      </c>
      <c r="G22" s="106">
        <f t="shared" si="15"/>
        <v>0.8249178226309184</v>
      </c>
      <c r="I22" s="72">
        <v>0.1060980965162247</v>
      </c>
      <c r="J22" s="10">
        <f t="shared" si="0"/>
        <v>89</v>
      </c>
      <c r="K22" s="10">
        <f t="shared" si="1"/>
        <v>1</v>
      </c>
      <c r="L22" s="10">
        <f t="shared" si="2"/>
        <v>1</v>
      </c>
      <c r="M22" s="10"/>
      <c r="N22" s="182">
        <f t="shared" ca="1" si="16"/>
        <v>0.1081473985288397</v>
      </c>
      <c r="O22" s="11">
        <v>1</v>
      </c>
      <c r="P22" s="11">
        <f t="shared" ca="1" si="3"/>
        <v>0.38882760879737222</v>
      </c>
      <c r="Q22" s="11">
        <f t="shared" ca="1" si="3"/>
        <v>0.66499172424698128</v>
      </c>
      <c r="R22" s="11">
        <f t="shared" ca="1" si="3"/>
        <v>0.35049841300986356</v>
      </c>
      <c r="S22" s="11">
        <f t="shared" ca="1" si="3"/>
        <v>0.77072030700487526</v>
      </c>
      <c r="T22" s="10"/>
      <c r="U22" s="10"/>
      <c r="V22" s="10"/>
      <c r="W22" s="10"/>
      <c r="X22" s="10"/>
      <c r="Z22" s="60">
        <f ca="1">IF(neural_net!Z$12,0,MMULT($O22:$S22,V$14:V$18))</f>
        <v>0.45972862916932417</v>
      </c>
      <c r="AA22" s="60">
        <f ca="1">IF(neural_net!AA$12,0,MMULT($O22:$S22,W$14:W$18))</f>
        <v>-1.7176388143136962</v>
      </c>
      <c r="AB22" s="60">
        <f ca="1">IF(neural_net!AB$12,0,MMULT($O22:$S22,X$14:X$18))</f>
        <v>-0.97199665386547252</v>
      </c>
      <c r="AC22" s="58"/>
      <c r="AD22" s="60">
        <v>1</v>
      </c>
      <c r="AE22" s="60">
        <f t="shared" ca="1" si="4"/>
        <v>0.4298630108815919</v>
      </c>
      <c r="AF22" s="60">
        <f t="shared" ca="1" si="5"/>
        <v>-0.93757808390651554</v>
      </c>
      <c r="AG22" s="60">
        <f t="shared" ca="1" si="6"/>
        <v>-0.74958038946622063</v>
      </c>
      <c r="AH22" s="60">
        <f t="shared" ca="1" si="7"/>
        <v>0.83580743422341508</v>
      </c>
      <c r="AI22" s="60">
        <f t="shared" ca="1" si="8"/>
        <v>0.46108614162774175</v>
      </c>
      <c r="AJ22" s="60">
        <f t="shared" ca="1" si="9"/>
        <v>0.59690382869749303</v>
      </c>
      <c r="AK22" s="25"/>
      <c r="AL22" s="25"/>
      <c r="AM22" s="25"/>
      <c r="AN22" s="25"/>
      <c r="AP22" s="62">
        <f ca="1">IF(neural_net!AP$12,0,MMULT($AD22:$AG22,AM$14:AM$17))</f>
        <v>0.44485444148743414</v>
      </c>
      <c r="AQ22" s="62">
        <f ca="1">IF(neural_net!AQ$12,0,MMULT($AD22:$AG22,AN$14:AN$17))</f>
        <v>0.69555271001700647</v>
      </c>
      <c r="AR22" s="24"/>
      <c r="AS22" s="62">
        <v>1</v>
      </c>
      <c r="AT22" s="62">
        <f t="shared" ca="1" si="17"/>
        <v>0.44485444148743414</v>
      </c>
      <c r="AU22" s="62">
        <f t="shared" ca="1" si="10"/>
        <v>0.69555271001700647</v>
      </c>
      <c r="AV22" s="118">
        <f t="shared" ca="1" si="11"/>
        <v>1</v>
      </c>
      <c r="AW22" s="118">
        <f t="shared" ca="1" si="12"/>
        <v>1</v>
      </c>
      <c r="AX22" s="24"/>
      <c r="AY22" s="35"/>
      <c r="AZ22" s="24"/>
      <c r="BA22" s="5"/>
      <c r="BB22" s="65">
        <f t="shared" ca="1" si="13"/>
        <v>0.18731453423387764</v>
      </c>
      <c r="BC22" s="36"/>
      <c r="BD22" s="65">
        <f t="shared" ca="1" si="18"/>
        <v>0.54669219028639648</v>
      </c>
      <c r="BE22" s="65">
        <f t="shared" ca="1" si="14"/>
        <v>0.24781983936625895</v>
      </c>
      <c r="BF22" s="183">
        <f t="shared" ca="1" si="19"/>
        <v>0.1081473985288397</v>
      </c>
      <c r="BG22" s="183">
        <f t="shared" ca="1" si="20"/>
        <v>0.54669219028639648</v>
      </c>
    </row>
    <row r="23" spans="2:59" ht="15" customHeight="1">
      <c r="B23" s="1">
        <v>10</v>
      </c>
      <c r="C23" s="6">
        <v>-7.6616164639477544</v>
      </c>
      <c r="D23" s="6">
        <v>1.0993197109010156E-2</v>
      </c>
      <c r="E23" s="6">
        <v>0.61824893690442284</v>
      </c>
      <c r="F23" s="6">
        <v>-1.9262091083576549</v>
      </c>
      <c r="G23" s="106">
        <f t="shared" si="15"/>
        <v>1</v>
      </c>
      <c r="I23" s="72">
        <v>0.60172364986089144</v>
      </c>
      <c r="J23" s="10">
        <f t="shared" si="0"/>
        <v>38</v>
      </c>
      <c r="K23" s="10">
        <f t="shared" si="1"/>
        <v>1</v>
      </c>
      <c r="L23" s="10">
        <f t="shared" si="2"/>
        <v>1</v>
      </c>
      <c r="M23" s="10"/>
      <c r="N23" s="182">
        <f t="shared" ca="1" si="16"/>
        <v>1</v>
      </c>
      <c r="O23" s="11">
        <v>1</v>
      </c>
      <c r="P23" s="11">
        <f t="shared" ca="1" si="3"/>
        <v>0.91283470292240976</v>
      </c>
      <c r="Q23" s="11">
        <f t="shared" ca="1" si="3"/>
        <v>0.53301890363017201</v>
      </c>
      <c r="R23" s="11">
        <f t="shared" ca="1" si="3"/>
        <v>0.36103604398428785</v>
      </c>
      <c r="S23" s="11">
        <f t="shared" ca="1" si="3"/>
        <v>0.33498785336444431</v>
      </c>
      <c r="T23" s="94" t="s">
        <v>41</v>
      </c>
      <c r="U23" s="149" t="s">
        <v>100</v>
      </c>
      <c r="V23" s="126">
        <f ca="1">(1/SUM(batch_bool))*((d_21*SUMPRODUCT(batch_bool,a_10))+(lambda*V14))</f>
        <v>-7.4959283499423996</v>
      </c>
      <c r="W23" s="127">
        <f ca="1">(1/SUM(batch_bool))*((d_22*SUMPRODUCT(batch_bool,a_10))+(lambda*W14))</f>
        <v>-0.93185078536281096</v>
      </c>
      <c r="X23" s="128">
        <f ca="1">(1/SUM(batch_bool))*((d_23*SUMPRODUCT(batch_bool,a_10))+(lambda*X14))</f>
        <v>9.0325199217700742</v>
      </c>
      <c r="Z23" s="60">
        <f ca="1">IF(neural_net!Z$12,0,MMULT($O23:$S23,V$14:V$18))</f>
        <v>0.50699605748219456</v>
      </c>
      <c r="AA23" s="60">
        <f ca="1">IF(neural_net!AA$12,0,MMULT($O23:$S23,W$14:W$18))</f>
        <v>-1.7148747016212251</v>
      </c>
      <c r="AB23" s="60">
        <f ca="1">IF(neural_net!AB$12,0,MMULT($O23:$S23,X$14:X$18))</f>
        <v>-0.20540131102553794</v>
      </c>
      <c r="AC23" s="58"/>
      <c r="AD23" s="60">
        <v>1</v>
      </c>
      <c r="AE23" s="60">
        <f t="shared" ca="1" si="4"/>
        <v>0.46760137087951958</v>
      </c>
      <c r="AF23" s="60">
        <f t="shared" ca="1" si="5"/>
        <v>-0.93724290404942689</v>
      </c>
      <c r="AG23" s="60">
        <f t="shared" ca="1" si="6"/>
        <v>-0.20256063387153123</v>
      </c>
      <c r="AH23" s="60">
        <f t="shared" ca="1" si="7"/>
        <v>0.80967788270811669</v>
      </c>
      <c r="AI23" s="60">
        <f t="shared" ca="1" si="8"/>
        <v>0.4613130814877453</v>
      </c>
      <c r="AJ23" s="60">
        <f t="shared" ca="1" si="9"/>
        <v>0.96006599237828172</v>
      </c>
      <c r="AK23" s="95" t="s">
        <v>30</v>
      </c>
      <c r="AL23" s="152" t="s">
        <v>100</v>
      </c>
      <c r="AM23" s="120">
        <f ca="1">(1/SUM(batch_bool))*((d_31*SUMPRODUCT(batch_bool,a_20))+(lambda*AM14))</f>
        <v>0.82128013746157513</v>
      </c>
      <c r="AN23" s="121">
        <f ca="1">(1/SUM(batch_bool))*((d_32*SUMPRODUCT(batch_bool,a_20))+(lambda*AN14))</f>
        <v>-0.41516065780640066</v>
      </c>
      <c r="AP23" s="62">
        <f ca="1">IF(neural_net!AP$12,0,MMULT($AD23:$AG23,AM$14:AM$17))</f>
        <v>1.0356626200105215</v>
      </c>
      <c r="AQ23" s="62">
        <f ca="1">IF(neural_net!AQ$12,0,MMULT($AD23:$AG23,AN$14:AN$17))</f>
        <v>0.19127452234991318</v>
      </c>
      <c r="AR23" s="24"/>
      <c r="AS23" s="62">
        <v>1</v>
      </c>
      <c r="AT23" s="62">
        <f t="shared" ca="1" si="17"/>
        <v>1.0356626200105215</v>
      </c>
      <c r="AU23" s="62">
        <f t="shared" ca="1" si="10"/>
        <v>0.19127452234991318</v>
      </c>
      <c r="AV23" s="118">
        <f t="shared" ca="1" si="11"/>
        <v>1</v>
      </c>
      <c r="AW23" s="118">
        <f t="shared" ca="1" si="12"/>
        <v>1</v>
      </c>
      <c r="AX23" s="96" t="s">
        <v>34</v>
      </c>
      <c r="AY23" s="170" t="s">
        <v>100</v>
      </c>
      <c r="AZ23" s="135">
        <f ca="1">(1/SUM(batch_bool))*((d_4*SUMPRODUCT(batch_bool,a_30)+(lambda*AZ14)))</f>
        <v>-0.17958521043875383</v>
      </c>
      <c r="BB23" s="65">
        <f t="shared" ca="1" si="13"/>
        <v>-0.17831797282046558</v>
      </c>
      <c r="BC23" s="36"/>
      <c r="BD23" s="65">
        <f t="shared" ca="1" si="18"/>
        <v>0.4555382580164597</v>
      </c>
      <c r="BE23" s="65">
        <f t="shared" ca="1" si="14"/>
        <v>0.24802315349978907</v>
      </c>
      <c r="BF23" s="183">
        <f t="shared" ca="1" si="19"/>
        <v>1</v>
      </c>
      <c r="BG23" s="183">
        <f t="shared" ca="1" si="20"/>
        <v>0.4555382580164597</v>
      </c>
    </row>
    <row r="24" spans="2:59">
      <c r="B24" s="1">
        <v>11</v>
      </c>
      <c r="C24" s="6">
        <v>-6.605895841359616</v>
      </c>
      <c r="D24" s="6">
        <v>-2.385959747825936</v>
      </c>
      <c r="E24" s="6">
        <v>-10.724659575774993</v>
      </c>
      <c r="F24" s="6">
        <v>20.499340097267439</v>
      </c>
      <c r="G24" s="106">
        <f t="shared" si="15"/>
        <v>0.99980985738985861</v>
      </c>
      <c r="I24" s="72">
        <v>0.80438007195515593</v>
      </c>
      <c r="J24" s="10">
        <f t="shared" si="0"/>
        <v>17</v>
      </c>
      <c r="K24" s="10">
        <f t="shared" si="1"/>
        <v>2</v>
      </c>
      <c r="L24" s="10">
        <f t="shared" si="2"/>
        <v>0</v>
      </c>
      <c r="M24" s="10"/>
      <c r="N24" s="182">
        <f t="shared" ca="1" si="16"/>
        <v>1</v>
      </c>
      <c r="O24" s="11">
        <v>1</v>
      </c>
      <c r="P24" s="11">
        <f t="shared" ca="1" si="3"/>
        <v>0.29969611845363003</v>
      </c>
      <c r="Q24" s="11">
        <f t="shared" ca="1" si="3"/>
        <v>0.50752069400110833</v>
      </c>
      <c r="R24" s="11">
        <f t="shared" ca="1" si="3"/>
        <v>0.23732258020706287</v>
      </c>
      <c r="S24" s="11">
        <f t="shared" ca="1" si="3"/>
        <v>0.29294763088046333</v>
      </c>
      <c r="T24" s="94" t="s">
        <v>42</v>
      </c>
      <c r="U24" s="150"/>
      <c r="V24" s="129">
        <f ca="1">(1/SUM(batch_bool))*((d_21*SUMPRODUCT(batch_bool,a_11))+(lambda*V15))</f>
        <v>-4.0813050432735194</v>
      </c>
      <c r="W24" s="130">
        <f ca="1">(1/SUM(batch_bool))*((d_22*SUMPRODUCT(batch_bool,a_11))+(lambda*W15))</f>
        <v>-0.52226136340403351</v>
      </c>
      <c r="X24" s="131">
        <f ca="1">(1/SUM(batch_bool))*((d_23*SUMPRODUCT(batch_bool,a_11))+(lambda*X15))</f>
        <v>4.9336759273651083</v>
      </c>
      <c r="Z24" s="60">
        <f ca="1">IF(neural_net!Z$12,0,MMULT($O24:$S24,V$14:V$18))</f>
        <v>0.57790269981851849</v>
      </c>
      <c r="AA24" s="60">
        <f ca="1">IF(neural_net!AA$12,0,MMULT($O24:$S24,W$14:W$18))</f>
        <v>-1.101003447116897</v>
      </c>
      <c r="AB24" s="60">
        <f ca="1">IF(neural_net!AB$12,0,MMULT($O24:$S24,X$14:X$18))</f>
        <v>-0.62606512887688348</v>
      </c>
      <c r="AC24" s="58"/>
      <c r="AD24" s="60">
        <v>1</v>
      </c>
      <c r="AE24" s="60">
        <f t="shared" ca="1" si="4"/>
        <v>0.52113939761017047</v>
      </c>
      <c r="AF24" s="60">
        <f t="shared" ca="1" si="5"/>
        <v>-0.8008591718712228</v>
      </c>
      <c r="AG24" s="60">
        <f t="shared" ca="1" si="6"/>
        <v>-0.55533680229205729</v>
      </c>
      <c r="AH24" s="60">
        <f t="shared" ca="1" si="7"/>
        <v>0.7709622139286445</v>
      </c>
      <c r="AI24" s="60">
        <f t="shared" ca="1" si="8"/>
        <v>0.55841739494684539</v>
      </c>
      <c r="AJ24" s="60">
        <f t="shared" ca="1" si="9"/>
        <v>0.74547032418428283</v>
      </c>
      <c r="AK24" s="95" t="s">
        <v>31</v>
      </c>
      <c r="AL24" s="153"/>
      <c r="AM24" s="122">
        <f ca="1">(1/SUM(batch_bool))*((d_31*SUMPRODUCT(batch_bool,a_21))+(lambda*AM15))</f>
        <v>0.32998236303702139</v>
      </c>
      <c r="AN24" s="123">
        <f ca="1">(1/SUM(batch_bool))*((d_32*SUMPRODUCT(batch_bool,a_21))+(lambda*AN15))</f>
        <v>-0.15865577244371284</v>
      </c>
      <c r="AP24" s="62">
        <f ca="1">IF(neural_net!AP$12,0,MMULT($AD24:$AG24,AM$14:AM$17))</f>
        <v>0.54259252423084448</v>
      </c>
      <c r="AQ24" s="62">
        <f ca="1">IF(neural_net!AQ$12,0,MMULT($AD24:$AG24,AN$14:AN$17))</f>
        <v>0.53504818086227057</v>
      </c>
      <c r="AR24" s="24"/>
      <c r="AS24" s="62">
        <v>1</v>
      </c>
      <c r="AT24" s="62">
        <f t="shared" ca="1" si="17"/>
        <v>0.54259252423084448</v>
      </c>
      <c r="AU24" s="62">
        <f t="shared" ca="1" si="10"/>
        <v>0.53504818086227057</v>
      </c>
      <c r="AV24" s="118">
        <f t="shared" ca="1" si="11"/>
        <v>1</v>
      </c>
      <c r="AW24" s="118">
        <f t="shared" ca="1" si="12"/>
        <v>1</v>
      </c>
      <c r="AX24" s="96" t="s">
        <v>35</v>
      </c>
      <c r="AY24" s="171"/>
      <c r="AZ24" s="136">
        <f ca="1">(1/SUM(batch_bool))*((d_4*SUMPRODUCT(batch_bool,a_31)+(lambda*AZ15)))</f>
        <v>-0.11738986982149587</v>
      </c>
      <c r="BB24" s="65">
        <f t="shared" ca="1" si="13"/>
        <v>0.10999666457120612</v>
      </c>
      <c r="BC24" s="36"/>
      <c r="BD24" s="65">
        <f t="shared" ca="1" si="18"/>
        <v>0.52747147300465891</v>
      </c>
      <c r="BE24" s="65">
        <f t="shared" ca="1" si="14"/>
        <v>0.2492453181709543</v>
      </c>
      <c r="BF24" s="183">
        <f t="shared" ca="1" si="19"/>
        <v>1</v>
      </c>
      <c r="BG24" s="183">
        <f t="shared" ca="1" si="20"/>
        <v>0.52747147300465891</v>
      </c>
    </row>
    <row r="25" spans="2:59" ht="16" thickBot="1">
      <c r="B25" s="1">
        <v>12</v>
      </c>
      <c r="C25" s="6">
        <v>-8.428175707113807</v>
      </c>
      <c r="D25" s="6">
        <v>-3.3582755008592109</v>
      </c>
      <c r="E25" s="6">
        <v>5.8934157902251165</v>
      </c>
      <c r="F25" s="6">
        <v>14.829821567791353</v>
      </c>
      <c r="G25" s="106">
        <f t="shared" si="15"/>
        <v>0.99934506511996501</v>
      </c>
      <c r="I25" s="72">
        <v>0.33187440187808626</v>
      </c>
      <c r="J25" s="10">
        <f t="shared" si="0"/>
        <v>65</v>
      </c>
      <c r="K25" s="10">
        <f t="shared" si="1"/>
        <v>2</v>
      </c>
      <c r="L25" s="10">
        <f t="shared" si="2"/>
        <v>0</v>
      </c>
      <c r="M25" s="10"/>
      <c r="N25" s="182">
        <f t="shared" ca="1" si="16"/>
        <v>0.24116952126722643</v>
      </c>
      <c r="O25" s="11">
        <v>1</v>
      </c>
      <c r="P25" s="11">
        <f t="shared" ca="1" si="3"/>
        <v>0.33144727001466801</v>
      </c>
      <c r="Q25" s="11">
        <f t="shared" ca="1" si="3"/>
        <v>0.87896398799989328</v>
      </c>
      <c r="R25" s="11">
        <f t="shared" ca="1" si="3"/>
        <v>0.49072900386987439</v>
      </c>
      <c r="S25" s="11">
        <f t="shared" ca="1" si="3"/>
        <v>0.27757843797836956</v>
      </c>
      <c r="T25" s="94" t="s">
        <v>43</v>
      </c>
      <c r="U25" s="150"/>
      <c r="V25" s="129">
        <f ca="1">(1/SUM(batch_bool))*((d_21*SUMPRODUCT(batch_bool,a_12))+(lambda*V16))</f>
        <v>-3.8608344469473077</v>
      </c>
      <c r="W25" s="130">
        <f ca="1">(1/SUM(batch_bool))*((d_22*SUMPRODUCT(batch_bool,a_12))+(lambda*W16))</f>
        <v>-0.49637999284905449</v>
      </c>
      <c r="X25" s="131">
        <f ca="1">(1/SUM(batch_bool))*((d_23*SUMPRODUCT(batch_bool,a_12))+(lambda*X16))</f>
        <v>4.6730763690270818</v>
      </c>
      <c r="Z25" s="60">
        <f ca="1">IF(neural_net!Z$12,0,MMULT($O25:$S25,V$14:V$18))</f>
        <v>0.82194538064640787</v>
      </c>
      <c r="AA25" s="60">
        <f ca="1">IF(neural_net!AA$12,0,MMULT($O25:$S25,W$14:W$18))</f>
        <v>-1.4985302173983222</v>
      </c>
      <c r="AB25" s="60">
        <f ca="1">IF(neural_net!AB$12,0,MMULT($O25:$S25,X$14:X$18))</f>
        <v>-0.67877275049597074</v>
      </c>
      <c r="AC25" s="58"/>
      <c r="AD25" s="60">
        <v>1</v>
      </c>
      <c r="AE25" s="60">
        <f t="shared" ca="1" si="4"/>
        <v>0.67612731786881219</v>
      </c>
      <c r="AF25" s="60">
        <f t="shared" ca="1" si="5"/>
        <v>-0.90488230054614704</v>
      </c>
      <c r="AG25" s="60">
        <f t="shared" ca="1" si="6"/>
        <v>-0.59072097542684554</v>
      </c>
      <c r="AH25" s="60">
        <f t="shared" ca="1" si="7"/>
        <v>0.65308373763355532</v>
      </c>
      <c r="AI25" s="60">
        <f t="shared" ca="1" si="8"/>
        <v>0.48351796798958557</v>
      </c>
      <c r="AJ25" s="60">
        <f t="shared" ca="1" si="9"/>
        <v>0.71866104948072118</v>
      </c>
      <c r="AK25" s="95" t="s">
        <v>32</v>
      </c>
      <c r="AL25" s="153"/>
      <c r="AM25" s="122">
        <f ca="1">(1/SUM(batch_bool))*((d_31*SUMPRODUCT(batch_bool,a_22))+(lambda*AM16))</f>
        <v>-0.72811928446402874</v>
      </c>
      <c r="AN25" s="123">
        <f ca="1">(1/SUM(batch_bool))*((d_32*SUMPRODUCT(batch_bool,a_22))+(lambda*AN16))</f>
        <v>0.3575099046259187</v>
      </c>
      <c r="AP25" s="62">
        <f ca="1">IF(neural_net!AP$12,0,MMULT($AD25:$AG25,AM$14:AM$17))</f>
        <v>0.42798195619955415</v>
      </c>
      <c r="AQ25" s="62">
        <f ca="1">IF(neural_net!AQ$12,0,MMULT($AD25:$AG25,AN$14:AN$17))</f>
        <v>0.72122410339069942</v>
      </c>
      <c r="AR25" s="24"/>
      <c r="AS25" s="62">
        <v>1</v>
      </c>
      <c r="AT25" s="62">
        <f t="shared" ca="1" si="17"/>
        <v>0.42798195619955415</v>
      </c>
      <c r="AU25" s="62">
        <f t="shared" ca="1" si="10"/>
        <v>0.72122410339069942</v>
      </c>
      <c r="AV25" s="118">
        <f t="shared" ca="1" si="11"/>
        <v>1</v>
      </c>
      <c r="AW25" s="118">
        <f t="shared" ca="1" si="12"/>
        <v>1</v>
      </c>
      <c r="AX25" s="96" t="s">
        <v>36</v>
      </c>
      <c r="AY25" s="172"/>
      <c r="AZ25" s="137">
        <f ca="1">(1/SUM(batch_bool))*((d_4*SUMPRODUCT(batch_bool,a_32)+(lambda*AZ16)))</f>
        <v>-9.6730482577959576E-2</v>
      </c>
      <c r="BB25" s="65">
        <f t="shared" ca="1" si="13"/>
        <v>0.20021722553717794</v>
      </c>
      <c r="BC25" s="36"/>
      <c r="BD25" s="65">
        <f t="shared" ca="1" si="18"/>
        <v>0.54988776365070202</v>
      </c>
      <c r="BE25" s="65">
        <f t="shared" ca="1" si="14"/>
        <v>0.24751121103793169</v>
      </c>
      <c r="BF25" s="183">
        <f t="shared" ca="1" si="19"/>
        <v>0.24116952126722643</v>
      </c>
      <c r="BG25" s="183">
        <f t="shared" ca="1" si="20"/>
        <v>0.54988776365070202</v>
      </c>
    </row>
    <row r="26" spans="2:59" ht="16" thickBot="1">
      <c r="B26" s="1">
        <v>13</v>
      </c>
      <c r="C26" s="6">
        <v>-10.169318932346316</v>
      </c>
      <c r="D26" s="6">
        <v>-8.6847270166115269</v>
      </c>
      <c r="E26" s="6">
        <v>-14.525097074403785</v>
      </c>
      <c r="F26" s="6">
        <v>-10.716044309533299</v>
      </c>
      <c r="G26" s="106">
        <f t="shared" si="15"/>
        <v>0.94454345224741454</v>
      </c>
      <c r="I26" s="72">
        <v>0.12885038537423743</v>
      </c>
      <c r="J26" s="10">
        <f t="shared" si="0"/>
        <v>84</v>
      </c>
      <c r="K26" s="10">
        <f t="shared" si="1"/>
        <v>2</v>
      </c>
      <c r="L26" s="10">
        <f t="shared" si="2"/>
        <v>0</v>
      </c>
      <c r="M26" s="10"/>
      <c r="N26" s="182">
        <f t="shared" ca="1" si="16"/>
        <v>1.3306190791124853E-4</v>
      </c>
      <c r="O26" s="11">
        <v>1</v>
      </c>
      <c r="P26" s="11">
        <f t="shared" ca="1" si="3"/>
        <v>0.27701441749160288</v>
      </c>
      <c r="Q26" s="11">
        <f t="shared" ca="1" si="3"/>
        <v>0.5850460294784996</v>
      </c>
      <c r="R26" s="11">
        <f t="shared" ca="1" si="3"/>
        <v>0.14807756549207202</v>
      </c>
      <c r="S26" s="11">
        <f t="shared" ca="1" si="3"/>
        <v>0.2145777299873409</v>
      </c>
      <c r="T26" s="94" t="s">
        <v>44</v>
      </c>
      <c r="U26" s="150"/>
      <c r="V26" s="129">
        <f ca="1">(1/SUM(batch_bool))*((d_21*SUMPRODUCT(batch_bool,a_13))+(lambda*V17))</f>
        <v>-3.451654362784097</v>
      </c>
      <c r="W26" s="130">
        <f ca="1">(1/SUM(batch_bool))*((d_22*SUMPRODUCT(batch_bool,a_13))+(lambda*W17))</f>
        <v>-0.43332620454341297</v>
      </c>
      <c r="X26" s="131">
        <f ca="1">(1/SUM(batch_bool))*((d_23*SUMPRODUCT(batch_bool,a_13))+(lambda*X17))</f>
        <v>4.1468276932950809</v>
      </c>
      <c r="Z26" s="60">
        <f ca="1">IF(neural_net!Z$12,0,MMULT($O26:$S26,V$14:V$18))</f>
        <v>0.65347614449025593</v>
      </c>
      <c r="AA26" s="60">
        <f ca="1">IF(neural_net!AA$12,0,MMULT($O26:$S26,W$14:W$18))</f>
        <v>-1.0596329167023459</v>
      </c>
      <c r="AB26" s="60">
        <f ca="1">IF(neural_net!AB$12,0,MMULT($O26:$S26,X$14:X$18))</f>
        <v>-0.49377646709696738</v>
      </c>
      <c r="AC26" s="58"/>
      <c r="AD26" s="60">
        <v>1</v>
      </c>
      <c r="AE26" s="60">
        <f t="shared" ca="1" si="4"/>
        <v>0.57400543332207066</v>
      </c>
      <c r="AF26" s="60">
        <f t="shared" ca="1" si="5"/>
        <v>-0.78552332386731272</v>
      </c>
      <c r="AG26" s="60">
        <f t="shared" ca="1" si="6"/>
        <v>-0.45720862033154275</v>
      </c>
      <c r="AH26" s="60">
        <f t="shared" ca="1" si="7"/>
        <v>0.73137048766115065</v>
      </c>
      <c r="AI26" s="60">
        <f t="shared" ca="1" si="8"/>
        <v>0.56984040658341584</v>
      </c>
      <c r="AJ26" s="60">
        <f t="shared" ca="1" si="9"/>
        <v>0.81698165726362193</v>
      </c>
      <c r="AK26" s="95" t="s">
        <v>33</v>
      </c>
      <c r="AL26" s="154"/>
      <c r="AM26" s="124">
        <f ca="1">(1/SUM(batch_bool))*((d_31*SUMPRODUCT(batch_bool,a_23))+(lambda*AM17))</f>
        <v>-0.46090605899888359</v>
      </c>
      <c r="AN26" s="125">
        <f ca="1">(1/SUM(batch_bool))*((d_32*SUMPRODUCT(batch_bool,a_23))+(lambda*AN17))</f>
        <v>0.22462220485201795</v>
      </c>
      <c r="AP26" s="62">
        <f ca="1">IF(neural_net!AP$12,0,MMULT($AD26:$AG26,AM$14:AM$17))</f>
        <v>0.60814789921900958</v>
      </c>
      <c r="AQ26" s="62">
        <f ca="1">IF(neural_net!AQ$12,0,MMULT($AD26:$AG26,AN$14:AN$17))</f>
        <v>0.47559185842049362</v>
      </c>
      <c r="AR26" s="24"/>
      <c r="AS26" s="62">
        <v>1</v>
      </c>
      <c r="AT26" s="62">
        <f t="shared" ca="1" si="17"/>
        <v>0.60814789921900958</v>
      </c>
      <c r="AU26" s="62">
        <f t="shared" ca="1" si="10"/>
        <v>0.47559185842049362</v>
      </c>
      <c r="AV26" s="118">
        <f t="shared" ca="1" si="11"/>
        <v>1</v>
      </c>
      <c r="AW26" s="118">
        <f t="shared" ca="1" si="12"/>
        <v>1</v>
      </c>
      <c r="AX26" s="24"/>
      <c r="AY26" s="24"/>
      <c r="AZ26" s="24"/>
      <c r="BB26" s="65">
        <f t="shared" ca="1" si="13"/>
        <v>6.8661798847511127E-2</v>
      </c>
      <c r="BC26" s="36"/>
      <c r="BD26" s="65">
        <f t="shared" ca="1" si="18"/>
        <v>0.51715870909570727</v>
      </c>
      <c r="BE26" s="65">
        <f t="shared" ca="1" si="14"/>
        <v>0.24970557870216889</v>
      </c>
      <c r="BF26" s="183">
        <f t="shared" ca="1" si="19"/>
        <v>1.3306190791124853E-4</v>
      </c>
      <c r="BG26" s="183">
        <f t="shared" ca="1" si="20"/>
        <v>0.51715870909570727</v>
      </c>
    </row>
    <row r="27" spans="2:59" ht="16" thickBot="1">
      <c r="B27" s="1">
        <v>14</v>
      </c>
      <c r="C27" s="6">
        <v>-13.907327494722468</v>
      </c>
      <c r="D27" s="6">
        <v>0.38902161631432908</v>
      </c>
      <c r="E27" s="6">
        <v>-9.5713818614572173</v>
      </c>
      <c r="F27" s="6">
        <v>-6.8825566222656454</v>
      </c>
      <c r="G27" s="106">
        <f t="shared" si="15"/>
        <v>1.3200493793306546E-47</v>
      </c>
      <c r="I27" s="72">
        <v>0.59526548078428143</v>
      </c>
      <c r="J27" s="10">
        <f t="shared" si="0"/>
        <v>40</v>
      </c>
      <c r="K27" s="10">
        <f t="shared" si="1"/>
        <v>2</v>
      </c>
      <c r="L27" s="10">
        <f t="shared" si="2"/>
        <v>0</v>
      </c>
      <c r="M27" s="10"/>
      <c r="N27" s="182">
        <f t="shared" ca="1" si="16"/>
        <v>2.1503365240290147E-34</v>
      </c>
      <c r="O27" s="11">
        <v>1</v>
      </c>
      <c r="P27" s="11">
        <f t="shared" ca="1" si="3"/>
        <v>0.78121714828965672</v>
      </c>
      <c r="Q27" s="11">
        <f t="shared" ca="1" si="3"/>
        <v>0.51242255353115052</v>
      </c>
      <c r="R27" s="11">
        <f t="shared" ca="1" si="3"/>
        <v>0.52884138227264654</v>
      </c>
      <c r="S27" s="11">
        <f t="shared" ca="1" si="3"/>
        <v>0.68588569181035286</v>
      </c>
      <c r="T27" s="94" t="s">
        <v>45</v>
      </c>
      <c r="U27" s="151"/>
      <c r="V27" s="132">
        <f ca="1">(1/SUM(batch_bool))*((d_21*SUMPRODUCT(batch_bool,a_14))+(lambda*V18))</f>
        <v>-3.9154310095945308</v>
      </c>
      <c r="W27" s="133">
        <f ca="1">(1/SUM(batch_bool))*((d_22*SUMPRODUCT(batch_bool,a_14))+(lambda*W18))</f>
        <v>-0.49960191653735886</v>
      </c>
      <c r="X27" s="134">
        <f ca="1">(1/SUM(batch_bool))*((d_23*SUMPRODUCT(batch_bool,a_14))+(lambda*X18))</f>
        <v>4.6926110877862488</v>
      </c>
      <c r="Z27" s="60">
        <f ca="1">IF(neural_net!Z$12,0,MMULT($O27:$S27,V$14:V$18))</f>
        <v>0.37185298068887407</v>
      </c>
      <c r="AA27" s="60">
        <f ca="1">IF(neural_net!AA$12,0,MMULT($O27:$S27,W$14:W$18))</f>
        <v>-1.9088724140427917</v>
      </c>
      <c r="AB27" s="60">
        <f ca="1">IF(neural_net!AB$12,0,MMULT($O27:$S27,X$14:X$18))</f>
        <v>-0.73624307335408357</v>
      </c>
      <c r="AC27" s="58"/>
      <c r="AD27" s="60">
        <v>1</v>
      </c>
      <c r="AE27" s="60">
        <f t="shared" ca="1" si="4"/>
        <v>0.35561143161822317</v>
      </c>
      <c r="AF27" s="60">
        <f t="shared" ca="1" si="5"/>
        <v>-0.9569906151683254</v>
      </c>
      <c r="AG27" s="60">
        <f t="shared" ca="1" si="6"/>
        <v>-0.62686994801755824</v>
      </c>
      <c r="AH27" s="60">
        <f t="shared" ca="1" si="7"/>
        <v>0.88348521364855648</v>
      </c>
      <c r="AI27" s="60">
        <f t="shared" ca="1" si="8"/>
        <v>0.44805276234365654</v>
      </c>
      <c r="AJ27" s="60">
        <f t="shared" ca="1" si="9"/>
        <v>0.69098278659530377</v>
      </c>
      <c r="AK27" s="25"/>
      <c r="AL27" s="25"/>
      <c r="AM27" s="25"/>
      <c r="AN27" s="25"/>
      <c r="AP27" s="62">
        <f ca="1">IF(neural_net!AP$12,0,MMULT($AD27:$AG27,AM$14:AM$17))</f>
        <v>0.6468040773463295</v>
      </c>
      <c r="AQ27" s="62">
        <f ca="1">IF(neural_net!AQ$12,0,MMULT($AD27:$AG27,AN$14:AN$17))</f>
        <v>0.52437565060125646</v>
      </c>
      <c r="AR27" s="24"/>
      <c r="AS27" s="62">
        <v>1</v>
      </c>
      <c r="AT27" s="62">
        <f t="shared" ca="1" si="17"/>
        <v>0.6468040773463295</v>
      </c>
      <c r="AU27" s="62">
        <f t="shared" ca="1" si="10"/>
        <v>0.52437565060125646</v>
      </c>
      <c r="AV27" s="118">
        <f t="shared" ca="1" si="11"/>
        <v>1</v>
      </c>
      <c r="AW27" s="118">
        <f t="shared" ca="1" si="12"/>
        <v>1</v>
      </c>
      <c r="AX27" s="24"/>
      <c r="AY27" s="24"/>
      <c r="AZ27" s="24"/>
      <c r="BB27" s="65">
        <f t="shared" ca="1" si="13"/>
        <v>6.2595209335330679E-2</v>
      </c>
      <c r="BC27" s="36"/>
      <c r="BD27" s="65">
        <f t="shared" ca="1" si="18"/>
        <v>0.51564369479212513</v>
      </c>
      <c r="BE27" s="65">
        <f t="shared" ca="1" si="14"/>
        <v>0.24975527481325083</v>
      </c>
      <c r="BF27" s="183">
        <f t="shared" ca="1" si="19"/>
        <v>2.1503365240290237E-34</v>
      </c>
      <c r="BG27" s="183">
        <f t="shared" ca="1" si="20"/>
        <v>0.51564369479212513</v>
      </c>
    </row>
    <row r="28" spans="2:59" ht="16" customHeight="1" thickBot="1">
      <c r="B28" s="1">
        <v>15</v>
      </c>
      <c r="C28" s="6">
        <v>13.705184602035164</v>
      </c>
      <c r="D28" s="6">
        <v>0.23079109047983609</v>
      </c>
      <c r="E28" s="6">
        <v>7.8696899587750799</v>
      </c>
      <c r="F28" s="6">
        <v>1.1770754249999276</v>
      </c>
      <c r="G28" s="106">
        <f t="shared" si="15"/>
        <v>1</v>
      </c>
      <c r="I28" s="72">
        <v>0.49838368701192015</v>
      </c>
      <c r="J28" s="10">
        <f t="shared" si="0"/>
        <v>50</v>
      </c>
      <c r="K28" s="10">
        <f t="shared" si="1"/>
        <v>2</v>
      </c>
      <c r="L28" s="10">
        <f t="shared" si="2"/>
        <v>0</v>
      </c>
      <c r="M28" s="10"/>
      <c r="N28" s="182">
        <f t="shared" ca="1" si="16"/>
        <v>0.2412168705026885</v>
      </c>
      <c r="O28" s="11">
        <v>1</v>
      </c>
      <c r="P28" s="11">
        <f t="shared" ca="1" si="3"/>
        <v>0.74707087832662533</v>
      </c>
      <c r="Q28" s="11">
        <f t="shared" ca="1" si="3"/>
        <v>0.22440028515107685</v>
      </c>
      <c r="R28" s="11">
        <f t="shared" ca="1" si="3"/>
        <v>0.413682209937622</v>
      </c>
      <c r="S28" s="11">
        <f t="shared" ca="1" si="3"/>
        <v>0.79574329004301458</v>
      </c>
      <c r="T28" s="10"/>
      <c r="U28" s="10"/>
      <c r="V28" s="10"/>
      <c r="W28" s="10"/>
      <c r="X28" s="10"/>
      <c r="Z28" s="60">
        <f ca="1">IF(neural_net!Z$12,0,MMULT($O28:$S28,V$14:V$18))</f>
        <v>0.14776671617367726</v>
      </c>
      <c r="AA28" s="60">
        <f ca="1">IF(neural_net!AA$12,0,MMULT($O28:$S28,W$14:W$18))</f>
        <v>-1.6925788024258912</v>
      </c>
      <c r="AB28" s="60">
        <f ca="1">IF(neural_net!AB$12,0,MMULT($O28:$S28,X$14:X$18))</f>
        <v>-0.84442175266716357</v>
      </c>
      <c r="AC28" s="58"/>
      <c r="AD28" s="60">
        <v>1</v>
      </c>
      <c r="AE28" s="60">
        <f t="shared" ca="1" si="4"/>
        <v>0.14670053172783243</v>
      </c>
      <c r="AF28" s="60">
        <f t="shared" ca="1" si="5"/>
        <v>-0.93447487978659904</v>
      </c>
      <c r="AG28" s="60">
        <f t="shared" ca="1" si="6"/>
        <v>-0.688144018048649</v>
      </c>
      <c r="AH28" s="60">
        <f t="shared" ca="1" si="7"/>
        <v>0.97878400051408287</v>
      </c>
      <c r="AI28" s="60">
        <f t="shared" ca="1" si="8"/>
        <v>0.46318966219503355</v>
      </c>
      <c r="AJ28" s="60">
        <f t="shared" ca="1" si="9"/>
        <v>0.64384365124217313</v>
      </c>
      <c r="AK28" s="25"/>
      <c r="AL28" s="25"/>
      <c r="AM28" s="25"/>
      <c r="AN28" s="25"/>
      <c r="AP28" s="62">
        <f ca="1">IF(neural_net!AP$12,0,MMULT($AD28:$AG28,AM$14:AM$17))</f>
        <v>0.72444446561812226</v>
      </c>
      <c r="AQ28" s="62">
        <f ca="1">IF(neural_net!AQ$12,0,MMULT($AD28:$AG28,AN$14:AN$17))</f>
        <v>0.4156028076044686</v>
      </c>
      <c r="AR28" s="24"/>
      <c r="AS28" s="62">
        <v>1</v>
      </c>
      <c r="AT28" s="62">
        <f t="shared" ca="1" si="17"/>
        <v>0.72444446561812226</v>
      </c>
      <c r="AU28" s="62">
        <f t="shared" ca="1" si="10"/>
        <v>0.4156028076044686</v>
      </c>
      <c r="AV28" s="118">
        <f t="shared" ca="1" si="11"/>
        <v>1</v>
      </c>
      <c r="AW28" s="118">
        <f t="shared" ca="1" si="12"/>
        <v>1</v>
      </c>
      <c r="AX28" s="24"/>
      <c r="AY28" s="24"/>
      <c r="AZ28" s="24"/>
      <c r="BB28" s="65">
        <f t="shared" ca="1" si="13"/>
        <v>5.2652465696903239E-3</v>
      </c>
      <c r="BC28" s="36"/>
      <c r="BD28" s="65">
        <f t="shared" ca="1" si="18"/>
        <v>0.50131630860144161</v>
      </c>
      <c r="BE28" s="65">
        <f t="shared" ca="1" si="14"/>
        <v>0.24999826733166577</v>
      </c>
      <c r="BF28" s="183">
        <f t="shared" ca="1" si="19"/>
        <v>0.2412168705026885</v>
      </c>
      <c r="BG28" s="183">
        <f t="shared" ca="1" si="20"/>
        <v>0.50131630860144161</v>
      </c>
    </row>
    <row r="29" spans="2:59" ht="15" customHeight="1">
      <c r="B29" s="1">
        <v>16</v>
      </c>
      <c r="C29" s="6">
        <v>6.0479542803692921</v>
      </c>
      <c r="D29" s="6">
        <v>1.1468456538606788</v>
      </c>
      <c r="E29" s="6">
        <v>19.027684766919993</v>
      </c>
      <c r="F29" s="6">
        <v>-12.655828963830986</v>
      </c>
      <c r="G29" s="106">
        <f t="shared" si="15"/>
        <v>0.9999999365112282</v>
      </c>
      <c r="I29" s="72">
        <v>0.47060186398632464</v>
      </c>
      <c r="J29" s="10">
        <f t="shared" si="0"/>
        <v>53</v>
      </c>
      <c r="K29" s="10">
        <f t="shared" si="1"/>
        <v>2</v>
      </c>
      <c r="L29" s="10">
        <f t="shared" si="2"/>
        <v>0</v>
      </c>
      <c r="M29" s="10"/>
      <c r="N29" s="182">
        <f t="shared" ca="1" si="16"/>
        <v>2.3404821451597505E-2</v>
      </c>
      <c r="O29" s="11">
        <v>1</v>
      </c>
      <c r="P29" s="11">
        <f t="shared" ca="1" si="3"/>
        <v>0.66027259400866722</v>
      </c>
      <c r="Q29" s="11">
        <f t="shared" ca="1" si="3"/>
        <v>0.48093065175730199</v>
      </c>
      <c r="R29" s="11">
        <f t="shared" ca="1" si="3"/>
        <v>0.2143038874664</v>
      </c>
      <c r="S29" s="11">
        <f t="shared" ca="1" si="3"/>
        <v>0.59205287597559375</v>
      </c>
      <c r="T29" s="10"/>
      <c r="U29" s="149" t="s">
        <v>98</v>
      </c>
      <c r="V29" s="86">
        <f ca="1">(1/(1-beta_1^batch_cnt))*((beta_1*neural_net!V53)+((1-beta_1)*neural_net!V23))</f>
        <v>-7.4959283499423996</v>
      </c>
      <c r="W29" s="87">
        <f ca="1">(1/(1-beta_1^batch_cnt))*((beta_1*neural_net!W53)+((1-beta_1)*neural_net!W23))</f>
        <v>-0.93185078536281096</v>
      </c>
      <c r="X29" s="88">
        <f ca="1">(1/(1-beta_1^batch_cnt))*((beta_1*neural_net!X53)+((1-beta_1)*neural_net!X23))</f>
        <v>9.0325199217700742</v>
      </c>
      <c r="Z29" s="60">
        <f ca="1">IF(neural_net!Z$12,0,MMULT($O29:$S29,V$14:V$18))</f>
        <v>0.38307045018486835</v>
      </c>
      <c r="AA29" s="60">
        <f ca="1">IF(neural_net!AA$12,0,MMULT($O29:$S29,W$14:W$18))</f>
        <v>-1.6165014946774621</v>
      </c>
      <c r="AB29" s="60">
        <f ca="1">IF(neural_net!AB$12,0,MMULT($O29:$S29,X$14:X$18))</f>
        <v>-0.53518723453821004</v>
      </c>
      <c r="AC29" s="58"/>
      <c r="AD29" s="60">
        <v>1</v>
      </c>
      <c r="AE29" s="60">
        <f t="shared" ca="1" si="4"/>
        <v>0.36537100476183626</v>
      </c>
      <c r="AF29" s="60">
        <f t="shared" ca="1" si="5"/>
        <v>-0.92411504562986568</v>
      </c>
      <c r="AG29" s="60">
        <f t="shared" ca="1" si="6"/>
        <v>-0.48933624593660396</v>
      </c>
      <c r="AH29" s="60">
        <f t="shared" ca="1" si="7"/>
        <v>0.87754468344855796</v>
      </c>
      <c r="AI29" s="60">
        <f t="shared" ca="1" si="8"/>
        <v>0.47025137564206954</v>
      </c>
      <c r="AJ29" s="60">
        <f t="shared" ca="1" si="9"/>
        <v>0.79416587331720478</v>
      </c>
      <c r="AK29" s="25"/>
      <c r="AL29" s="152" t="s">
        <v>98</v>
      </c>
      <c r="AM29" s="97">
        <f ca="1">(1/(1-beta_1^batch_cnt))*((beta_1*neural_net!AM53)+((1-beta_1)*neural_net!AM23))</f>
        <v>0.82128013746157513</v>
      </c>
      <c r="AN29" s="98">
        <f ca="1">(1/(1-beta_1^batch_cnt))*((beta_1*neural_net!AN53)+((1-beta_1)*neural_net!AN23))</f>
        <v>-0.41516065780640066</v>
      </c>
      <c r="AP29" s="62">
        <f ca="1">IF(neural_net!AP$12,0,MMULT($AD29:$AG29,AM$14:AM$17))</f>
        <v>0.78219466054749442</v>
      </c>
      <c r="AQ29" s="62">
        <f ca="1">IF(neural_net!AQ$12,0,MMULT($AD29:$AG29,AN$14:AN$17))</f>
        <v>0.38778903532783693</v>
      </c>
      <c r="AR29" s="24"/>
      <c r="AS29" s="62">
        <v>1</v>
      </c>
      <c r="AT29" s="62">
        <f t="shared" ca="1" si="17"/>
        <v>0.78219466054749442</v>
      </c>
      <c r="AU29" s="62">
        <f t="shared" ca="1" si="10"/>
        <v>0.38778903532783693</v>
      </c>
      <c r="AV29" s="118">
        <f t="shared" ca="1" si="11"/>
        <v>1</v>
      </c>
      <c r="AW29" s="118">
        <f t="shared" ca="1" si="12"/>
        <v>1</v>
      </c>
      <c r="AX29" s="24"/>
      <c r="AY29" s="146" t="s">
        <v>101</v>
      </c>
      <c r="AZ29" s="103">
        <f ca="1">(1/(1-beta_1^batch_cnt))*((beta_1*AZ53)+((1-beta_1)*AZ23))</f>
        <v>-0.17958521043875383</v>
      </c>
      <c r="BB29" s="65">
        <f t="shared" ca="1" si="13"/>
        <v>-2.5784685463542734E-2</v>
      </c>
      <c r="BC29" s="36"/>
      <c r="BD29" s="65">
        <f t="shared" ca="1" si="18"/>
        <v>0.49355418575512622</v>
      </c>
      <c r="BE29" s="65">
        <f t="shared" ca="1" si="14"/>
        <v>0.24995845147872059</v>
      </c>
      <c r="BF29" s="183">
        <f t="shared" ca="1" si="19"/>
        <v>2.3404821451597505E-2</v>
      </c>
      <c r="BG29" s="183">
        <f t="shared" ca="1" si="20"/>
        <v>0.49355418575512622</v>
      </c>
    </row>
    <row r="30" spans="2:59">
      <c r="B30" s="1">
        <v>17</v>
      </c>
      <c r="C30" s="6">
        <v>-9.9745590901432628</v>
      </c>
      <c r="D30" s="6">
        <v>-0.60429065782942193</v>
      </c>
      <c r="E30" s="6">
        <v>-10.218076053348073</v>
      </c>
      <c r="F30" s="6">
        <v>-8.4464441042113485</v>
      </c>
      <c r="G30" s="106">
        <f t="shared" si="15"/>
        <v>1</v>
      </c>
      <c r="I30" s="72">
        <v>0.60276681763650153</v>
      </c>
      <c r="J30" s="10">
        <f t="shared" si="0"/>
        <v>37</v>
      </c>
      <c r="K30" s="10">
        <f t="shared" si="1"/>
        <v>2</v>
      </c>
      <c r="L30" s="10">
        <f t="shared" si="2"/>
        <v>0</v>
      </c>
      <c r="M30" s="10"/>
      <c r="N30" s="182">
        <f t="shared" ca="1" si="16"/>
        <v>0.24968923959650521</v>
      </c>
      <c r="O30" s="11">
        <v>1</v>
      </c>
      <c r="P30" s="11">
        <f t="shared" ca="1" si="3"/>
        <v>0.62426373262271151</v>
      </c>
      <c r="Q30" s="11">
        <f t="shared" ca="1" si="3"/>
        <v>0.4748387541304116</v>
      </c>
      <c r="R30" s="11">
        <f t="shared" ca="1" si="3"/>
        <v>0.21099243823668726</v>
      </c>
      <c r="S30" s="11">
        <f t="shared" ca="1" si="3"/>
        <v>0.57586309884704989</v>
      </c>
      <c r="T30" s="10"/>
      <c r="U30" s="150"/>
      <c r="V30" s="89">
        <f ca="1">(1/(1-beta_1^batch_cnt))*((beta_1*neural_net!V54)+((1-beta_1)*neural_net!V24))</f>
        <v>-4.0813050432735194</v>
      </c>
      <c r="W30" s="85">
        <f ca="1">(1/(1-beta_1^batch_cnt))*((beta_1*neural_net!W54)+((1-beta_1)*neural_net!W24))</f>
        <v>-0.52226136340403351</v>
      </c>
      <c r="X30" s="90">
        <f ca="1">(1/(1-beta_1^batch_cnt))*((beta_1*neural_net!X54)+((1-beta_1)*neural_net!X24))</f>
        <v>4.9336759273651083</v>
      </c>
      <c r="Z30" s="60">
        <f ca="1">IF(neural_net!Z$12,0,MMULT($O30:$S30,V$14:V$18))</f>
        <v>0.39087176725178419</v>
      </c>
      <c r="AA30" s="60">
        <f ca="1">IF(neural_net!AA$12,0,MMULT($O30:$S30,W$14:W$18))</f>
        <v>-1.5668986891915042</v>
      </c>
      <c r="AB30" s="60">
        <f ca="1">IF(neural_net!AB$12,0,MMULT($O30:$S30,X$14:X$18))</f>
        <v>-0.55325298203505535</v>
      </c>
      <c r="AC30" s="58"/>
      <c r="AD30" s="60">
        <v>1</v>
      </c>
      <c r="AE30" s="60">
        <f t="shared" ca="1" si="4"/>
        <v>0.37211152766911226</v>
      </c>
      <c r="AF30" s="60">
        <f t="shared" ca="1" si="5"/>
        <v>-0.91653104989590017</v>
      </c>
      <c r="AG30" s="60">
        <f t="shared" ca="1" si="6"/>
        <v>-0.5029542828980641</v>
      </c>
      <c r="AH30" s="60">
        <f t="shared" ca="1" si="7"/>
        <v>0.87337984289354376</v>
      </c>
      <c r="AI30" s="60">
        <f t="shared" ca="1" si="8"/>
        <v>0.47545873308693398</v>
      </c>
      <c r="AJ30" s="60">
        <f t="shared" ca="1" si="9"/>
        <v>0.78429792750561034</v>
      </c>
      <c r="AK30" s="25"/>
      <c r="AL30" s="153"/>
      <c r="AM30" s="99">
        <f ca="1">(1/(1-beta_1^batch_cnt))*((beta_1*neural_net!AM54)+((1-beta_1)*neural_net!AM24))</f>
        <v>0.32998236303702139</v>
      </c>
      <c r="AN30" s="100">
        <f ca="1">(1/(1-beta_1^batch_cnt))*((beta_1*neural_net!AN54)+((1-beta_1)*neural_net!AN24))</f>
        <v>-0.15865577244371284</v>
      </c>
      <c r="AP30" s="62">
        <f ca="1">IF(neural_net!AP$12,0,MMULT($AD30:$AG30,AM$14:AM$17))</f>
        <v>0.75875758912232882</v>
      </c>
      <c r="AQ30" s="62">
        <f ca="1">IF(neural_net!AQ$12,0,MMULT($AD30:$AG30,AN$14:AN$17))</f>
        <v>0.40396803671755876</v>
      </c>
      <c r="AR30" s="24"/>
      <c r="AS30" s="62">
        <v>1</v>
      </c>
      <c r="AT30" s="62">
        <f t="shared" ca="1" si="17"/>
        <v>0.75875758912232882</v>
      </c>
      <c r="AU30" s="62">
        <f t="shared" ca="1" si="10"/>
        <v>0.40396803671755876</v>
      </c>
      <c r="AV30" s="118">
        <f t="shared" ca="1" si="11"/>
        <v>1</v>
      </c>
      <c r="AW30" s="118">
        <f t="shared" ca="1" si="12"/>
        <v>1</v>
      </c>
      <c r="AX30" s="24"/>
      <c r="AY30" s="147"/>
      <c r="AZ30" s="104">
        <f ca="1">(1/(1-beta_1^batch_cnt))*((beta_1*AZ54)+((1-beta_1)*AZ24))</f>
        <v>-0.11738986982149587</v>
      </c>
      <c r="BB30" s="65">
        <f t="shared" ca="1" si="13"/>
        <v>-1.2115522506854159E-2</v>
      </c>
      <c r="BC30" s="36"/>
      <c r="BD30" s="65">
        <f t="shared" ca="1" si="18"/>
        <v>0.4969711564224864</v>
      </c>
      <c r="BE30" s="65">
        <f t="shared" ca="1" si="14"/>
        <v>0.24999082610658299</v>
      </c>
      <c r="BF30" s="183">
        <f t="shared" ca="1" si="19"/>
        <v>0.24968923959650521</v>
      </c>
      <c r="BG30" s="183">
        <f t="shared" ca="1" si="20"/>
        <v>0.4969711564224864</v>
      </c>
    </row>
    <row r="31" spans="2:59" ht="16" thickBot="1">
      <c r="B31" s="1">
        <v>18</v>
      </c>
      <c r="C31" s="6">
        <v>-12.829448338907445</v>
      </c>
      <c r="D31" s="6">
        <v>-8.9150281370597479</v>
      </c>
      <c r="E31" s="6">
        <v>-3.4473602963791632</v>
      </c>
      <c r="F31" s="6">
        <v>1.0095295540499278</v>
      </c>
      <c r="G31" s="106">
        <f t="shared" si="15"/>
        <v>0.99758744280569722</v>
      </c>
      <c r="I31" s="72">
        <v>7.3666313891149748E-2</v>
      </c>
      <c r="J31" s="10">
        <f t="shared" si="0"/>
        <v>92</v>
      </c>
      <c r="K31" s="10">
        <f t="shared" si="1"/>
        <v>2</v>
      </c>
      <c r="L31" s="10">
        <f t="shared" si="2"/>
        <v>0</v>
      </c>
      <c r="M31" s="10"/>
      <c r="N31" s="182">
        <f t="shared" ca="1" si="16"/>
        <v>1.3054657330847231E-10</v>
      </c>
      <c r="O31" s="11">
        <v>1</v>
      </c>
      <c r="P31" s="11">
        <f t="shared" ca="1" si="3"/>
        <v>0.19373660294227096</v>
      </c>
      <c r="Q31" s="11">
        <f t="shared" ca="1" si="3"/>
        <v>0.55190277342890892</v>
      </c>
      <c r="R31" s="11">
        <f t="shared" ca="1" si="3"/>
        <v>0.54735250895736853</v>
      </c>
      <c r="S31" s="11">
        <f t="shared" ca="1" si="3"/>
        <v>0.52721874406281111</v>
      </c>
      <c r="T31" s="10"/>
      <c r="U31" s="150"/>
      <c r="V31" s="89">
        <f ca="1">(1/(1-beta_1^batch_cnt))*((beta_1*neural_net!V55)+((1-beta_1)*neural_net!V25))</f>
        <v>-3.8608344469473077</v>
      </c>
      <c r="W31" s="85">
        <f ca="1">(1/(1-beta_1^batch_cnt))*((beta_1*neural_net!W55)+((1-beta_1)*neural_net!W25))</f>
        <v>-0.49637999284905449</v>
      </c>
      <c r="X31" s="90">
        <f ca="1">(1/(1-beta_1^batch_cnt))*((beta_1*neural_net!X55)+((1-beta_1)*neural_net!X25))</f>
        <v>4.6730763690270818</v>
      </c>
      <c r="Z31" s="60">
        <f ca="1">IF(neural_net!Z$12,0,MMULT($O31:$S31,V$14:V$18))</f>
        <v>0.54119810638157539</v>
      </c>
      <c r="AA31" s="60">
        <f ca="1">IF(neural_net!AA$12,0,MMULT($O31:$S31,W$14:W$18))</f>
        <v>-1.3194890225815512</v>
      </c>
      <c r="AB31" s="60">
        <f ca="1">IF(neural_net!AB$12,0,MMULT($O31:$S31,X$14:X$18))</f>
        <v>-1.1327818042276168</v>
      </c>
      <c r="AC31" s="58"/>
      <c r="AD31" s="60">
        <v>1</v>
      </c>
      <c r="AE31" s="60">
        <f t="shared" ca="1" si="4"/>
        <v>0.49389435292158423</v>
      </c>
      <c r="AF31" s="60">
        <f t="shared" ca="1" si="5"/>
        <v>-0.86665679981807875</v>
      </c>
      <c r="AG31" s="60">
        <f t="shared" ca="1" si="6"/>
        <v>-0.81196918279226993</v>
      </c>
      <c r="AH31" s="60">
        <f t="shared" ca="1" si="7"/>
        <v>0.79087501038596175</v>
      </c>
      <c r="AI31" s="60">
        <f t="shared" ca="1" si="8"/>
        <v>0.51045972096432179</v>
      </c>
      <c r="AJ31" s="60">
        <f t="shared" ca="1" si="9"/>
        <v>0.55019487635497999</v>
      </c>
      <c r="AK31" s="25"/>
      <c r="AL31" s="153"/>
      <c r="AM31" s="99">
        <f ca="1">(1/(1-beta_1^batch_cnt))*((beta_1*neural_net!AM55)+((1-beta_1)*neural_net!AM25))</f>
        <v>-0.72811928446402874</v>
      </c>
      <c r="AN31" s="100">
        <f ca="1">(1/(1-beta_1^batch_cnt))*((beta_1*neural_net!AN55)+((1-beta_1)*neural_net!AN25))</f>
        <v>0.3575099046259187</v>
      </c>
      <c r="AP31" s="62">
        <f ca="1">IF(neural_net!AP$12,0,MMULT($AD31:$AG31,AM$14:AM$17))</f>
        <v>0.29845862119570943</v>
      </c>
      <c r="AQ31" s="62">
        <f ca="1">IF(neural_net!AQ$12,0,MMULT($AD31:$AG31,AN$14:AN$17))</f>
        <v>0.7842824185300743</v>
      </c>
      <c r="AR31" s="24"/>
      <c r="AS31" s="62">
        <v>1</v>
      </c>
      <c r="AT31" s="62">
        <f t="shared" ca="1" si="17"/>
        <v>0.29845862119570943</v>
      </c>
      <c r="AU31" s="62">
        <f t="shared" ca="1" si="10"/>
        <v>0.7842824185300743</v>
      </c>
      <c r="AV31" s="118">
        <f t="shared" ca="1" si="11"/>
        <v>1</v>
      </c>
      <c r="AW31" s="118">
        <f t="shared" ca="1" si="12"/>
        <v>1</v>
      </c>
      <c r="AX31" s="24"/>
      <c r="AY31" s="148"/>
      <c r="AZ31" s="105">
        <f ca="1">(1/(1-beta_1^batch_cnt))*((beta_1*AZ55)+((1-beta_1)*AZ25))</f>
        <v>-9.6730482577959576E-2</v>
      </c>
      <c r="BB31" s="65">
        <f t="shared" ca="1" si="13"/>
        <v>0.27000448377565234</v>
      </c>
      <c r="BC31" s="36"/>
      <c r="BD31" s="65">
        <f t="shared" ca="1" si="18"/>
        <v>0.56709400572550894</v>
      </c>
      <c r="BE31" s="65">
        <f t="shared" ca="1" si="14"/>
        <v>0.24549839439570537</v>
      </c>
      <c r="BF31" s="183">
        <f t="shared" ca="1" si="19"/>
        <v>1.3054657330847231E-10</v>
      </c>
      <c r="BG31" s="183">
        <f t="shared" ca="1" si="20"/>
        <v>0.56709400572550894</v>
      </c>
    </row>
    <row r="32" spans="2:59" ht="16" thickBot="1">
      <c r="B32" s="1">
        <v>19</v>
      </c>
      <c r="C32" s="6">
        <v>-0.55609178673275761</v>
      </c>
      <c r="D32" s="6">
        <v>11.455620046847667</v>
      </c>
      <c r="E32" s="6">
        <v>-4.2289238842609942</v>
      </c>
      <c r="F32" s="6">
        <v>6.92847679560328</v>
      </c>
      <c r="G32" s="106">
        <f t="shared" si="15"/>
        <v>0.53980429622157489</v>
      </c>
      <c r="I32" s="72">
        <v>0.92941545841037643</v>
      </c>
      <c r="J32" s="10">
        <f t="shared" si="0"/>
        <v>8</v>
      </c>
      <c r="K32" s="10">
        <f t="shared" si="1"/>
        <v>2</v>
      </c>
      <c r="L32" s="10">
        <f t="shared" si="2"/>
        <v>0</v>
      </c>
      <c r="M32" s="10"/>
      <c r="N32" s="182">
        <f t="shared" ca="1" si="16"/>
        <v>3.3292510317403767E-2</v>
      </c>
      <c r="O32" s="11">
        <v>1</v>
      </c>
      <c r="P32" s="11">
        <f t="shared" ca="1" si="3"/>
        <v>0.62912179100631571</v>
      </c>
      <c r="Q32" s="11">
        <f t="shared" ca="1" si="3"/>
        <v>0.48100218803326222</v>
      </c>
      <c r="R32" s="11">
        <f t="shared" ca="1" si="3"/>
        <v>0.51543636439238427</v>
      </c>
      <c r="S32" s="11">
        <f t="shared" ca="1" si="3"/>
        <v>2.0962292031324679E-2</v>
      </c>
      <c r="T32" s="10"/>
      <c r="U32" s="150"/>
      <c r="V32" s="89">
        <f ca="1">(1/(1-beta_1^batch_cnt))*((beta_1*neural_net!V56)+((1-beta_1)*neural_net!V26))</f>
        <v>-3.451654362784097</v>
      </c>
      <c r="W32" s="85">
        <f ca="1">(1/(1-beta_1^batch_cnt))*((beta_1*neural_net!W56)+((1-beta_1)*neural_net!W26))</f>
        <v>-0.43332620454341297</v>
      </c>
      <c r="X32" s="90">
        <f ca="1">(1/(1-beta_1^batch_cnt))*((beta_1*neural_net!X56)+((1-beta_1)*neural_net!X26))</f>
        <v>4.1468276932950809</v>
      </c>
      <c r="Z32" s="60">
        <f ca="1">IF(neural_net!Z$12,0,MMULT($O32:$S32,V$14:V$18))</f>
        <v>0.66322822188067176</v>
      </c>
      <c r="AA32" s="60">
        <f ca="1">IF(neural_net!AA$12,0,MMULT($O32:$S32,W$14:W$18))</f>
        <v>-1.2245194100382657</v>
      </c>
      <c r="AB32" s="60">
        <f ca="1">IF(neural_net!AB$12,0,MMULT($O32:$S32,X$14:X$18))</f>
        <v>-0.3389647307429528</v>
      </c>
      <c r="AC32" s="58"/>
      <c r="AD32" s="60">
        <v>1</v>
      </c>
      <c r="AE32" s="60">
        <f t="shared" ca="1" si="4"/>
        <v>0.5805077698798794</v>
      </c>
      <c r="AF32" s="60">
        <f t="shared" ca="1" si="5"/>
        <v>-0.84098226633519924</v>
      </c>
      <c r="AG32" s="60">
        <f t="shared" ca="1" si="6"/>
        <v>-0.32655283620154679</v>
      </c>
      <c r="AH32" s="60">
        <f t="shared" ca="1" si="7"/>
        <v>0.72643502743228905</v>
      </c>
      <c r="AI32" s="60">
        <f t="shared" ca="1" si="8"/>
        <v>0.52895252458276865</v>
      </c>
      <c r="AJ32" s="60">
        <f t="shared" ca="1" si="9"/>
        <v>0.90051025237865334</v>
      </c>
      <c r="AK32" s="25"/>
      <c r="AL32" s="154"/>
      <c r="AM32" s="101">
        <f ca="1">(1/(1-beta_1^batch_cnt))*((beta_1*neural_net!AM56)+((1-beta_1)*neural_net!AM26))</f>
        <v>-0.46090605899888359</v>
      </c>
      <c r="AN32" s="102">
        <f ca="1">(1/(1-beta_1^batch_cnt))*((beta_1*neural_net!AN56)+((1-beta_1)*neural_net!AN26))</f>
        <v>0.22462220485201795</v>
      </c>
      <c r="AP32" s="62">
        <f ca="1">IF(neural_net!AP$12,0,MMULT($AD32:$AG32,AM$14:AM$17))</f>
        <v>0.77307035823355896</v>
      </c>
      <c r="AQ32" s="62">
        <f ca="1">IF(neural_net!AQ$12,0,MMULT($AD32:$AG32,AN$14:AN$17))</f>
        <v>0.37015406363669501</v>
      </c>
      <c r="AR32" s="24"/>
      <c r="AS32" s="62">
        <v>1</v>
      </c>
      <c r="AT32" s="62">
        <f t="shared" ca="1" si="17"/>
        <v>0.77307035823355896</v>
      </c>
      <c r="AU32" s="62">
        <f t="shared" ca="1" si="10"/>
        <v>0.37015406363669501</v>
      </c>
      <c r="AV32" s="118">
        <f t="shared" ca="1" si="11"/>
        <v>1</v>
      </c>
      <c r="AW32" s="118">
        <f t="shared" ca="1" si="12"/>
        <v>1</v>
      </c>
      <c r="AX32" s="24"/>
      <c r="AY32" s="24"/>
      <c r="AZ32" s="24"/>
      <c r="BB32" s="65">
        <f t="shared" ca="1" si="13"/>
        <v>-2.5689097890594939E-2</v>
      </c>
      <c r="BC32" s="36"/>
      <c r="BD32" s="65">
        <f t="shared" ca="1" si="18"/>
        <v>0.49357807869154419</v>
      </c>
      <c r="BE32" s="65">
        <f t="shared" ca="1" si="14"/>
        <v>0.24995875892670796</v>
      </c>
      <c r="BF32" s="183">
        <f t="shared" ca="1" si="19"/>
        <v>3.3292510317403767E-2</v>
      </c>
      <c r="BG32" s="183">
        <f t="shared" ca="1" si="20"/>
        <v>0.49357807869154419</v>
      </c>
    </row>
    <row r="33" spans="2:59" ht="16" thickBot="1">
      <c r="B33" s="1">
        <v>20</v>
      </c>
      <c r="C33" s="6">
        <v>-6.2617529661074292</v>
      </c>
      <c r="D33" s="6">
        <v>1.5433137800997496</v>
      </c>
      <c r="E33" s="6">
        <v>18.144891801523844</v>
      </c>
      <c r="F33" s="6">
        <v>-4.8858114456508126</v>
      </c>
      <c r="G33" s="106">
        <f t="shared" si="15"/>
        <v>3.3126900137256623E-5</v>
      </c>
      <c r="I33" s="72">
        <v>0.43488366280645341</v>
      </c>
      <c r="J33" s="10">
        <f t="shared" si="0"/>
        <v>57</v>
      </c>
      <c r="K33" s="10">
        <f t="shared" si="1"/>
        <v>2</v>
      </c>
      <c r="L33" s="10">
        <f t="shared" si="2"/>
        <v>0</v>
      </c>
      <c r="M33" s="10"/>
      <c r="N33" s="182">
        <f t="shared" ca="1" si="16"/>
        <v>0.94990573952917889</v>
      </c>
      <c r="O33" s="11">
        <v>1</v>
      </c>
      <c r="P33" s="11">
        <f t="shared" ca="1" si="3"/>
        <v>0.44333795929882469</v>
      </c>
      <c r="Q33" s="11">
        <f t="shared" ca="1" si="3"/>
        <v>0.4433163928629022</v>
      </c>
      <c r="R33" s="11">
        <f t="shared" ca="1" si="3"/>
        <v>0.29466296647136336</v>
      </c>
      <c r="S33" s="11">
        <f t="shared" ca="1" si="3"/>
        <v>4.9276652775773401E-2</v>
      </c>
      <c r="T33" s="10"/>
      <c r="U33" s="151"/>
      <c r="V33" s="91">
        <f ca="1">(1/(1-beta_1^batch_cnt))*((beta_1*neural_net!V57)+((1-beta_1)*neural_net!V27))</f>
        <v>-3.9154310095945308</v>
      </c>
      <c r="W33" s="92">
        <f ca="1">(1/(1-beta_1^batch_cnt))*((beta_1*neural_net!W57)+((1-beta_1)*neural_net!W27))</f>
        <v>-0.49960191653735886</v>
      </c>
      <c r="X33" s="93">
        <f ca="1">(1/(1-beta_1^batch_cnt))*((beta_1*neural_net!X57)+((1-beta_1)*neural_net!X27))</f>
        <v>4.6926110877862488</v>
      </c>
      <c r="Z33" s="60">
        <f ca="1">IF(neural_net!Z$12,0,MMULT($O33:$S33,V$14:V$18))</f>
        <v>0.63340411372368755</v>
      </c>
      <c r="AA33" s="60">
        <f ca="1">IF(neural_net!AA$12,0,MMULT($O33:$S33,W$14:W$18))</f>
        <v>-0.99417471727307216</v>
      </c>
      <c r="AB33" s="60">
        <f ca="1">IF(neural_net!AB$12,0,MMULT($O33:$S33,X$14:X$18))</f>
        <v>-0.3664351914461153</v>
      </c>
      <c r="AC33" s="58"/>
      <c r="AD33" s="60">
        <v>1</v>
      </c>
      <c r="AE33" s="60">
        <f t="shared" ca="1" si="4"/>
        <v>0.56039175903721228</v>
      </c>
      <c r="AF33" s="60">
        <f t="shared" ca="1" si="5"/>
        <v>-0.75913681246596798</v>
      </c>
      <c r="AG33" s="60">
        <f t="shared" ca="1" si="6"/>
        <v>-0.3508696840528796</v>
      </c>
      <c r="AH33" s="60">
        <f t="shared" ca="1" si="7"/>
        <v>0.74166359528052295</v>
      </c>
      <c r="AI33" s="60">
        <f t="shared" ca="1" si="8"/>
        <v>0.58967232375707401</v>
      </c>
      <c r="AJ33" s="60">
        <f t="shared" ca="1" si="9"/>
        <v>0.88633217066264625</v>
      </c>
      <c r="AK33" s="25"/>
      <c r="AL33" s="67"/>
      <c r="AM33" s="68"/>
      <c r="AN33" s="68"/>
      <c r="AP33" s="62">
        <f ca="1">IF(neural_net!AP$12,0,MMULT($AD33:$AG33,AM$14:AM$17))</f>
        <v>0.72823608387669558</v>
      </c>
      <c r="AQ33" s="62">
        <f ca="1">IF(neural_net!AQ$12,0,MMULT($AD33:$AG33,AN$14:AN$17))</f>
        <v>0.35331745515206558</v>
      </c>
      <c r="AR33" s="24"/>
      <c r="AS33" s="62">
        <v>1</v>
      </c>
      <c r="AT33" s="62">
        <f t="shared" ca="1" si="17"/>
        <v>0.72823608387669558</v>
      </c>
      <c r="AU33" s="62">
        <f t="shared" ca="1" si="10"/>
        <v>0.35331745515206558</v>
      </c>
      <c r="AV33" s="118">
        <f t="shared" ca="1" si="11"/>
        <v>1</v>
      </c>
      <c r="AW33" s="118">
        <f t="shared" ca="1" si="12"/>
        <v>1</v>
      </c>
      <c r="AX33" s="24"/>
      <c r="AY33" s="24"/>
      <c r="AZ33" s="24"/>
      <c r="BB33" s="65">
        <f t="shared" ca="1" si="13"/>
        <v>-9.9747645536070323E-3</v>
      </c>
      <c r="BC33" s="36"/>
      <c r="BD33" s="65">
        <f t="shared" ca="1" si="18"/>
        <v>0.49750632953740193</v>
      </c>
      <c r="BE33" s="65">
        <f t="shared" ca="1" si="14"/>
        <v>0.24999378160762398</v>
      </c>
      <c r="BF33" s="183">
        <f t="shared" ca="1" si="19"/>
        <v>0.94990573952917889</v>
      </c>
      <c r="BG33" s="183">
        <f t="shared" ca="1" si="20"/>
        <v>0.49750632953740193</v>
      </c>
    </row>
    <row r="34" spans="2:59" ht="16" customHeight="1" thickBot="1">
      <c r="B34" s="1">
        <v>21</v>
      </c>
      <c r="C34" s="6">
        <v>-9.6251641460962531</v>
      </c>
      <c r="D34" s="6">
        <v>9.11284350936217</v>
      </c>
      <c r="E34" s="6">
        <v>-18.766210406553817</v>
      </c>
      <c r="F34" s="6">
        <v>-5.8244716392797224</v>
      </c>
      <c r="G34" s="106">
        <f t="shared" si="15"/>
        <v>8.3290783793834814E-3</v>
      </c>
      <c r="I34" s="72">
        <v>6.3922210612188057E-2</v>
      </c>
      <c r="J34" s="10">
        <f t="shared" si="0"/>
        <v>93</v>
      </c>
      <c r="K34" s="10">
        <f t="shared" si="1"/>
        <v>3</v>
      </c>
      <c r="L34" s="10">
        <f t="shared" si="2"/>
        <v>0</v>
      </c>
      <c r="M34" s="10"/>
      <c r="N34" s="182">
        <f t="shared" ca="1" si="16"/>
        <v>0.99972487839888968</v>
      </c>
      <c r="O34" s="11">
        <v>1</v>
      </c>
      <c r="P34" s="11">
        <f t="shared" ref="P34:S53" ca="1" si="21">(INDEX(INDIRECT(P$13),$J34,1)-MIN(INDIRECT(P$13)))/(MAX(INDIRECT(P$13))-MIN(INDIRECT(P$13)))</f>
        <v>6.8931078996970652E-2</v>
      </c>
      <c r="Q34" s="11">
        <f t="shared" ca="1" si="21"/>
        <v>0.40248349460703664</v>
      </c>
      <c r="R34" s="11">
        <f t="shared" ca="1" si="21"/>
        <v>0.33214056344432191</v>
      </c>
      <c r="S34" s="11">
        <f t="shared" ca="1" si="21"/>
        <v>2.5831128979674975E-2</v>
      </c>
      <c r="T34" s="10"/>
      <c r="U34" s="10"/>
      <c r="V34" s="10"/>
      <c r="W34" s="10"/>
      <c r="X34" s="10"/>
      <c r="Z34" s="60">
        <f ca="1">IF(neural_net!Z$12,0,MMULT($O34:$S34,V$14:V$18))</f>
        <v>0.67037434480478797</v>
      </c>
      <c r="AA34" s="60">
        <f ca="1">IF(neural_net!AA$12,0,MMULT($O34:$S34,W$14:W$18))</f>
        <v>-0.63173553142861849</v>
      </c>
      <c r="AB34" s="60">
        <f ca="1">IF(neural_net!AB$12,0,MMULT($O34:$S34,X$14:X$18))</f>
        <v>-0.7189125080659815</v>
      </c>
      <c r="AC34" s="58"/>
      <c r="AD34" s="60">
        <v>1</v>
      </c>
      <c r="AE34" s="60">
        <f t="shared" ca="1" si="4"/>
        <v>0.58522607242239655</v>
      </c>
      <c r="AF34" s="60">
        <f t="shared" ca="1" si="5"/>
        <v>-0.55924610633950345</v>
      </c>
      <c r="AG34" s="60">
        <f t="shared" ca="1" si="6"/>
        <v>-0.61623523349993325</v>
      </c>
      <c r="AH34" s="60">
        <f t="shared" ca="1" si="7"/>
        <v>0.72284674748625732</v>
      </c>
      <c r="AI34" s="60">
        <f t="shared" ca="1" si="8"/>
        <v>0.74252711476681554</v>
      </c>
      <c r="AJ34" s="60">
        <f t="shared" ca="1" si="9"/>
        <v>0.69914627725666012</v>
      </c>
      <c r="AK34" s="25"/>
      <c r="AL34" s="25"/>
      <c r="AM34" s="25"/>
      <c r="AN34" s="25"/>
      <c r="AP34" s="62">
        <f ca="1">IF(neural_net!AP$12,0,MMULT($AD34:$AG34,AM$14:AM$17))</f>
        <v>0.33043139538980559</v>
      </c>
      <c r="AQ34" s="62">
        <f ca="1">IF(neural_net!AQ$12,0,MMULT($AD34:$AG34,AN$14:AN$17))</f>
        <v>0.57026646392547975</v>
      </c>
      <c r="AR34" s="24"/>
      <c r="AS34" s="62">
        <v>1</v>
      </c>
      <c r="AT34" s="62">
        <f t="shared" ca="1" si="17"/>
        <v>0.33043139538980559</v>
      </c>
      <c r="AU34" s="62">
        <f t="shared" ca="1" si="10"/>
        <v>0.57026646392547975</v>
      </c>
      <c r="AV34" s="118">
        <f t="shared" ca="1" si="11"/>
        <v>1</v>
      </c>
      <c r="AW34" s="118">
        <f t="shared" ca="1" si="12"/>
        <v>1</v>
      </c>
      <c r="AX34" s="24"/>
      <c r="AY34" s="24"/>
      <c r="AZ34" s="24"/>
      <c r="BB34" s="65">
        <f t="shared" ca="1" si="13"/>
        <v>0.20944550533839013</v>
      </c>
      <c r="BC34" s="36"/>
      <c r="BD34" s="65">
        <f t="shared" ca="1" si="18"/>
        <v>0.55217079909811506</v>
      </c>
      <c r="BE34" s="65">
        <f t="shared" ca="1" si="14"/>
        <v>0.24727820772146411</v>
      </c>
      <c r="BF34" s="183">
        <f t="shared" ca="1" si="19"/>
        <v>0.99972487839888968</v>
      </c>
      <c r="BG34" s="183">
        <f t="shared" ca="1" si="20"/>
        <v>0.55217079909811506</v>
      </c>
    </row>
    <row r="35" spans="2:59">
      <c r="B35" s="1">
        <v>22</v>
      </c>
      <c r="C35" s="6">
        <v>-18.100782637255342</v>
      </c>
      <c r="D35" s="6">
        <v>7.4516241528108651</v>
      </c>
      <c r="E35" s="6">
        <v>-0.80521965165932441</v>
      </c>
      <c r="F35" s="6">
        <v>-1.8785988590769733</v>
      </c>
      <c r="G35" s="106">
        <f t="shared" si="15"/>
        <v>5.5187830827007343E-4</v>
      </c>
      <c r="I35" s="72">
        <v>0.95976431943370188</v>
      </c>
      <c r="J35" s="10">
        <f t="shared" si="0"/>
        <v>6</v>
      </c>
      <c r="K35" s="10">
        <f t="shared" si="1"/>
        <v>3</v>
      </c>
      <c r="L35" s="10">
        <f t="shared" si="2"/>
        <v>0</v>
      </c>
      <c r="M35" s="10"/>
      <c r="N35" s="182">
        <f t="shared" ca="1" si="16"/>
        <v>0.99999999999890199</v>
      </c>
      <c r="O35" s="11">
        <v>1</v>
      </c>
      <c r="P35" s="11">
        <f t="shared" ca="1" si="21"/>
        <v>0.87641068849418569</v>
      </c>
      <c r="Q35" s="11">
        <f t="shared" ca="1" si="21"/>
        <v>0.54071516383421103</v>
      </c>
      <c r="R35" s="11">
        <f t="shared" ca="1" si="21"/>
        <v>0.64343817071489218</v>
      </c>
      <c r="S35" s="11">
        <f t="shared" ca="1" si="21"/>
        <v>0.36877696177057462</v>
      </c>
      <c r="T35" s="10"/>
      <c r="U35" s="149" t="s">
        <v>97</v>
      </c>
      <c r="V35" s="86">
        <f ca="1">1/(SQRT((1/(1-beta_2^batch_cnt))*((beta_2*neural_net!V59)+((1-beta_2)*neural_net!V23^2))+10^-8))</f>
        <v>0.1334057575295125</v>
      </c>
      <c r="W35" s="87">
        <f ca="1">1/(SQRT((1/(1-beta_2^batch_cnt))*((beta_2*neural_net!W59)+((1-beta_2)*neural_net!W23^2))+10^-8))</f>
        <v>1.0731331774889061</v>
      </c>
      <c r="X35" s="88">
        <f ca="1">1/(SQRT((1/(1-beta_2^batch_cnt))*((beta_2*neural_net!X59)+((1-beta_2)*neural_net!X23^2))+10^-8))</f>
        <v>0.11071107604518279</v>
      </c>
      <c r="Z35" s="60">
        <f ca="1">IF(neural_net!Z$12,0,MMULT($O35:$S35,V$14:V$18))</f>
        <v>0.52534651776037988</v>
      </c>
      <c r="AA35" s="60">
        <f ca="1">IF(neural_net!AA$12,0,MMULT($O35:$S35,W$14:W$18))</f>
        <v>-1.796305625276869</v>
      </c>
      <c r="AB35" s="60">
        <f ca="1">IF(neural_net!AB$12,0,MMULT($O35:$S35,X$14:X$18))</f>
        <v>-0.47959126583366157</v>
      </c>
      <c r="AC35" s="58"/>
      <c r="AD35" s="60">
        <v>1</v>
      </c>
      <c r="AE35" s="60">
        <f t="shared" ca="1" si="4"/>
        <v>0.48181591763226067</v>
      </c>
      <c r="AF35" s="60">
        <f t="shared" ca="1" si="5"/>
        <v>-0.94642208824044094</v>
      </c>
      <c r="AG35" s="60">
        <f t="shared" ca="1" si="6"/>
        <v>-0.44591620899208023</v>
      </c>
      <c r="AH35" s="60">
        <f t="shared" ca="1" si="7"/>
        <v>0.7995676299120108</v>
      </c>
      <c r="AI35" s="60">
        <f t="shared" ca="1" si="8"/>
        <v>0.45512134457648656</v>
      </c>
      <c r="AJ35" s="60">
        <f t="shared" ca="1" si="9"/>
        <v>0.82482732453668195</v>
      </c>
      <c r="AK35" s="25"/>
      <c r="AL35" s="152" t="s">
        <v>97</v>
      </c>
      <c r="AM35" s="97">
        <f ca="1">1/(SQRT((1/(1-beta_2^batch_cnt))*((beta_2*neural_net!AM59)+((1-beta_2)*neural_net!AM23^2))+10^-8))</f>
        <v>1.2176113203929759</v>
      </c>
      <c r="AN35" s="98">
        <f ca="1">1/(SQRT((1/(1-beta_2^batch_cnt))*((beta_2*neural_net!AN59)+((1-beta_2)*neural_net!AN23^2))+10^-8))</f>
        <v>2.4087060085953529</v>
      </c>
      <c r="AP35" s="62">
        <f ca="1">IF(neural_net!AP$12,0,MMULT($AD35:$AG35,AM$14:AM$17))</f>
        <v>0.75325944156889102</v>
      </c>
      <c r="AQ35" s="62">
        <f ca="1">IF(neural_net!AQ$12,0,MMULT($AD35:$AG35,AN$14:AN$17))</f>
        <v>0.44236079404154111</v>
      </c>
      <c r="AR35" s="24"/>
      <c r="AS35" s="62">
        <v>1</v>
      </c>
      <c r="AT35" s="62">
        <f t="shared" ca="1" si="17"/>
        <v>0.75325944156889102</v>
      </c>
      <c r="AU35" s="62">
        <f t="shared" ca="1" si="10"/>
        <v>0.44236079404154111</v>
      </c>
      <c r="AV35" s="118">
        <f t="shared" ca="1" si="11"/>
        <v>1</v>
      </c>
      <c r="AW35" s="118">
        <f t="shared" ca="1" si="12"/>
        <v>1</v>
      </c>
      <c r="AX35" s="24"/>
      <c r="AY35" s="146" t="s">
        <v>97</v>
      </c>
      <c r="AZ35" s="103">
        <f ca="1">1/(SQRT((1/(1-beta_2^batch_cnt))*((beta_2*AZ59)+((1-beta_2)*neural_net!AZ23^2))+10^-8))</f>
        <v>5.5683864084475614</v>
      </c>
      <c r="BB35" s="65">
        <f t="shared" ca="1" si="13"/>
        <v>-1.3544478274909177E-3</v>
      </c>
      <c r="BC35" s="36"/>
      <c r="BD35" s="65">
        <f t="shared" ca="1" si="18"/>
        <v>0.49966138809489336</v>
      </c>
      <c r="BE35" s="65">
        <f t="shared" ca="1" si="14"/>
        <v>0.24999988534197773</v>
      </c>
      <c r="BF35" s="183">
        <f t="shared" ca="1" si="19"/>
        <v>0.99999999999890199</v>
      </c>
      <c r="BG35" s="183">
        <f t="shared" ca="1" si="20"/>
        <v>0.49966138809489336</v>
      </c>
    </row>
    <row r="36" spans="2:59">
      <c r="B36" s="1">
        <v>23</v>
      </c>
      <c r="C36" s="6">
        <v>-11.901349233701918</v>
      </c>
      <c r="D36" s="6">
        <v>-1.007201884615023</v>
      </c>
      <c r="E36" s="6">
        <v>11.410202242149099</v>
      </c>
      <c r="F36" s="6">
        <v>-10.182212589974833</v>
      </c>
      <c r="G36" s="106">
        <f t="shared" si="15"/>
        <v>0.99999999999999978</v>
      </c>
      <c r="I36" s="72">
        <v>0.87985499403344836</v>
      </c>
      <c r="J36" s="10">
        <f t="shared" si="0"/>
        <v>13</v>
      </c>
      <c r="K36" s="10">
        <f t="shared" si="1"/>
        <v>3</v>
      </c>
      <c r="L36" s="10">
        <f t="shared" si="2"/>
        <v>0</v>
      </c>
      <c r="M36" s="10"/>
      <c r="N36" s="182">
        <f t="shared" ca="1" si="16"/>
        <v>0.94454345224741454</v>
      </c>
      <c r="O36" s="11">
        <v>1</v>
      </c>
      <c r="P36" s="11">
        <f t="shared" ca="1" si="21"/>
        <v>0.29453992988505789</v>
      </c>
      <c r="Q36" s="11">
        <f t="shared" ca="1" si="21"/>
        <v>0.36878336467183731</v>
      </c>
      <c r="R36" s="11">
        <f t="shared" ca="1" si="21"/>
        <v>0.14740874441257096</v>
      </c>
      <c r="S36" s="11">
        <f t="shared" ca="1" si="21"/>
        <v>0.23926298308331853</v>
      </c>
      <c r="T36" s="10"/>
      <c r="U36" s="150"/>
      <c r="V36" s="89">
        <f ca="1">1/(SQRT((1/(1-beta_2^batch_cnt))*((beta_2*neural_net!V60)+((1-beta_2)*neural_net!V24^2))+10^-8))</f>
        <v>0.24501966628246691</v>
      </c>
      <c r="W36" s="85">
        <f ca="1">1/(SQRT((1/(1-beta_2^batch_cnt))*((beta_2*neural_net!W60)+((1-beta_2)*neural_net!W24^2))+10^-8))</f>
        <v>1.9147500691048391</v>
      </c>
      <c r="X36" s="90">
        <f ca="1">1/(SQRT((1/(1-beta_2^batch_cnt))*((beta_2*neural_net!X60)+((1-beta_2)*neural_net!X24^2))+10^-8))</f>
        <v>0.20268862700283785</v>
      </c>
      <c r="Z36" s="60">
        <f ca="1">IF(neural_net!Z$12,0,MMULT($O36:$S36,V$14:V$18))</f>
        <v>0.51237315228900837</v>
      </c>
      <c r="AA36" s="60">
        <f ca="1">IF(neural_net!AA$12,0,MMULT($O36:$S36,W$14:W$18))</f>
        <v>-0.91274827194474795</v>
      </c>
      <c r="AB36" s="60">
        <f ca="1">IF(neural_net!AB$12,0,MMULT($O36:$S36,X$14:X$18))</f>
        <v>-0.55671412429544143</v>
      </c>
      <c r="AC36" s="58"/>
      <c r="AD36" s="60">
        <v>1</v>
      </c>
      <c r="AE36" s="60">
        <f t="shared" ca="1" si="4"/>
        <v>0.47179218080582047</v>
      </c>
      <c r="AF36" s="60">
        <f t="shared" ca="1" si="5"/>
        <v>-0.72244872502788327</v>
      </c>
      <c r="AG36" s="60">
        <f t="shared" ca="1" si="6"/>
        <v>-0.50553538071950332</v>
      </c>
      <c r="AH36" s="60">
        <f t="shared" ca="1" si="7"/>
        <v>0.80671119625992016</v>
      </c>
      <c r="AI36" s="60">
        <f t="shared" ca="1" si="8"/>
        <v>0.61755199324979992</v>
      </c>
      <c r="AJ36" s="60">
        <f t="shared" ca="1" si="9"/>
        <v>0.78241572762887834</v>
      </c>
      <c r="AK36" s="25"/>
      <c r="AL36" s="153"/>
      <c r="AM36" s="99">
        <f ca="1">1/(SQRT((1/(1-beta_2^batch_cnt))*((beta_2*neural_net!AM60)+((1-beta_2)*neural_net!AM24^2))+10^-8))</f>
        <v>3.0304648553875007</v>
      </c>
      <c r="AN36" s="100">
        <f ca="1">1/(SQRT((1/(1-beta_2^batch_cnt))*((beta_2*neural_net!AN60)+((1-beta_2)*neural_net!AN24^2))+10^-8))</f>
        <v>6.3029525239537252</v>
      </c>
      <c r="AP36" s="62">
        <f ca="1">IF(neural_net!AP$12,0,MMULT($AD36:$AG36,AM$14:AM$17))</f>
        <v>0.60481058212238881</v>
      </c>
      <c r="AQ36" s="62">
        <f ca="1">IF(neural_net!AQ$12,0,MMULT($AD36:$AG36,AN$14:AN$17))</f>
        <v>0.4243726014629256</v>
      </c>
      <c r="AR36" s="24"/>
      <c r="AS36" s="62">
        <v>1</v>
      </c>
      <c r="AT36" s="62">
        <f t="shared" ca="1" si="17"/>
        <v>0.60481058212238881</v>
      </c>
      <c r="AU36" s="62">
        <f t="shared" ca="1" si="10"/>
        <v>0.4243726014629256</v>
      </c>
      <c r="AV36" s="118">
        <f t="shared" ca="1" si="11"/>
        <v>1</v>
      </c>
      <c r="AW36" s="118">
        <f t="shared" ca="1" si="12"/>
        <v>1</v>
      </c>
      <c r="AX36" s="24"/>
      <c r="AY36" s="147"/>
      <c r="AZ36" s="104">
        <f ca="1">1/(SQRT((1/(1-beta_2^batch_cnt))*((beta_2*AZ60)+((1-beta_2)*neural_net!AZ24^2))+10^-8))</f>
        <v>8.5186195255702213</v>
      </c>
      <c r="BB36" s="65">
        <f t="shared" ca="1" si="13"/>
        <v>5.8921331630230472E-2</v>
      </c>
      <c r="BC36" s="36"/>
      <c r="BD36" s="65">
        <f t="shared" ca="1" si="18"/>
        <v>0.51472607274987026</v>
      </c>
      <c r="BE36" s="65">
        <f t="shared" ca="1" si="14"/>
        <v>0.24978314278136554</v>
      </c>
      <c r="BF36" s="183">
        <f t="shared" ca="1" si="19"/>
        <v>0.94454345224741454</v>
      </c>
      <c r="BG36" s="183">
        <f t="shared" ca="1" si="20"/>
        <v>0.51472607274987026</v>
      </c>
    </row>
    <row r="37" spans="2:59" ht="16" thickBot="1">
      <c r="B37" s="1">
        <v>24</v>
      </c>
      <c r="C37" s="6">
        <v>-6.5229223817676241</v>
      </c>
      <c r="D37" s="6">
        <v>3.3497597875316791</v>
      </c>
      <c r="E37" s="6">
        <v>-0.31618956896232298</v>
      </c>
      <c r="F37" s="6">
        <v>-4.6833002782486783</v>
      </c>
      <c r="G37" s="106">
        <f t="shared" si="15"/>
        <v>2.7992542677366442E-3</v>
      </c>
      <c r="I37" s="72">
        <v>0.92660255943953018</v>
      </c>
      <c r="J37" s="10">
        <f t="shared" si="0"/>
        <v>10</v>
      </c>
      <c r="K37" s="10">
        <f t="shared" si="1"/>
        <v>3</v>
      </c>
      <c r="L37" s="10">
        <f t="shared" si="2"/>
        <v>0</v>
      </c>
      <c r="M37" s="10"/>
      <c r="N37" s="182">
        <f t="shared" ca="1" si="16"/>
        <v>1</v>
      </c>
      <c r="O37" s="11">
        <v>1</v>
      </c>
      <c r="P37" s="11">
        <f t="shared" ca="1" si="21"/>
        <v>0.36093034515072586</v>
      </c>
      <c r="Q37" s="11">
        <f t="shared" ca="1" si="21"/>
        <v>0.51808483126094851</v>
      </c>
      <c r="R37" s="11">
        <f t="shared" ca="1" si="21"/>
        <v>0.46354287052514642</v>
      </c>
      <c r="S37" s="11">
        <f t="shared" ca="1" si="21"/>
        <v>0.4471759035455028</v>
      </c>
      <c r="T37" s="10"/>
      <c r="U37" s="150"/>
      <c r="V37" s="89">
        <f ca="1">1/(SQRT((1/(1-beta_2^batch_cnt))*((beta_2*neural_net!V61)+((1-beta_2)*neural_net!V25^2))+10^-8))</f>
        <v>0.25901136487612092</v>
      </c>
      <c r="W37" s="85">
        <f ca="1">1/(SQRT((1/(1-beta_2^batch_cnt))*((beta_2*neural_net!W61)+((1-beta_2)*neural_net!W25^2))+10^-8))</f>
        <v>2.014585587883106</v>
      </c>
      <c r="X37" s="90">
        <f ca="1">1/(SQRT((1/(1-beta_2^batch_cnt))*((beta_2*neural_net!X61)+((1-beta_2)*neural_net!X25^2))+10^-8))</f>
        <v>0.21399179486964687</v>
      </c>
      <c r="Z37" s="60">
        <f ca="1">IF(neural_net!Z$12,0,MMULT($O37:$S37,V$14:V$18))</f>
        <v>0.52790166544482287</v>
      </c>
      <c r="AA37" s="60">
        <f ca="1">IF(neural_net!AA$12,0,MMULT($O37:$S37,W$14:W$18))</f>
        <v>-1.3475047449384532</v>
      </c>
      <c r="AB37" s="60">
        <f ca="1">IF(neural_net!AB$12,0,MMULT($O37:$S37,X$14:X$18))</f>
        <v>-0.86591179058430479</v>
      </c>
      <c r="AC37" s="58"/>
      <c r="AD37" s="60">
        <v>1</v>
      </c>
      <c r="AE37" s="60">
        <f t="shared" ca="1" si="4"/>
        <v>0.48377547982149877</v>
      </c>
      <c r="AF37" s="60">
        <f t="shared" ca="1" si="5"/>
        <v>-0.87346304462581092</v>
      </c>
      <c r="AG37" s="60">
        <f t="shared" ca="1" si="6"/>
        <v>-0.69929105535336522</v>
      </c>
      <c r="AH37" s="60">
        <f t="shared" ca="1" si="7"/>
        <v>0.79816350608175501</v>
      </c>
      <c r="AI37" s="60">
        <f t="shared" ca="1" si="8"/>
        <v>0.50560912451878548</v>
      </c>
      <c r="AJ37" s="60">
        <f t="shared" ca="1" si="9"/>
        <v>0.63528354561284084</v>
      </c>
      <c r="AK37" s="25"/>
      <c r="AL37" s="153"/>
      <c r="AM37" s="99">
        <f ca="1">1/(SQRT((1/(1-beta_2^batch_cnt))*((beta_2*neural_net!AM61)+((1-beta_2)*neural_net!AM25^2))+10^-8))</f>
        <v>1.3734013257250117</v>
      </c>
      <c r="AN37" s="100">
        <f ca="1">1/(SQRT((1/(1-beta_2^batch_cnt))*((beta_2*neural_net!AN61)+((1-beta_2)*neural_net!AN25^2))+10^-8))</f>
        <v>2.797125192732226</v>
      </c>
      <c r="AP37" s="62">
        <f ca="1">IF(neural_net!AP$12,0,MMULT($AD37:$AG37,AM$14:AM$17))</f>
        <v>0.43622233543390321</v>
      </c>
      <c r="AQ37" s="62">
        <f ca="1">IF(neural_net!AQ$12,0,MMULT($AD37:$AG37,AN$14:AN$17))</f>
        <v>0.66866263740945409</v>
      </c>
      <c r="AR37" s="24"/>
      <c r="AS37" s="62">
        <v>1</v>
      </c>
      <c r="AT37" s="62">
        <f t="shared" ca="1" si="17"/>
        <v>0.43622233543390321</v>
      </c>
      <c r="AU37" s="62">
        <f t="shared" ca="1" si="10"/>
        <v>0.66866263740945409</v>
      </c>
      <c r="AV37" s="118">
        <f t="shared" ca="1" si="11"/>
        <v>1</v>
      </c>
      <c r="AW37" s="118">
        <f t="shared" ca="1" si="12"/>
        <v>1</v>
      </c>
      <c r="AX37" s="24"/>
      <c r="AY37" s="148"/>
      <c r="AZ37" s="105">
        <f ca="1">1/(SQRT((1/(1-beta_2^batch_cnt))*((beta_2*AZ61)+((1-beta_2)*neural_net!AZ25^2))+10^-8))</f>
        <v>10.337997278396422</v>
      </c>
      <c r="BB37" s="65">
        <f t="shared" ca="1" si="13"/>
        <v>0.1851763761113355</v>
      </c>
      <c r="BC37" s="36"/>
      <c r="BD37" s="65">
        <f t="shared" ca="1" si="18"/>
        <v>0.54616225958003606</v>
      </c>
      <c r="BE37" s="65">
        <f t="shared" ca="1" si="14"/>
        <v>0.24786904579046537</v>
      </c>
      <c r="BF37" s="183">
        <f t="shared" ca="1" si="19"/>
        <v>1</v>
      </c>
      <c r="BG37" s="183">
        <f t="shared" ca="1" si="20"/>
        <v>0.54616225958003606</v>
      </c>
    </row>
    <row r="38" spans="2:59" ht="16" thickBot="1">
      <c r="B38" s="1">
        <v>25</v>
      </c>
      <c r="C38" s="6">
        <v>7.3142400964757828</v>
      </c>
      <c r="D38" s="6">
        <v>12.804022475867079</v>
      </c>
      <c r="E38" s="6">
        <v>-5.9536458747228327</v>
      </c>
      <c r="F38" s="6">
        <v>4.3376065716300456</v>
      </c>
      <c r="G38" s="106">
        <f t="shared" si="15"/>
        <v>0.91682874053605223</v>
      </c>
      <c r="I38" s="72">
        <v>0.9784228126136133</v>
      </c>
      <c r="J38" s="10">
        <f t="shared" si="0"/>
        <v>3</v>
      </c>
      <c r="K38" s="10">
        <f t="shared" si="1"/>
        <v>3</v>
      </c>
      <c r="L38" s="10">
        <f t="shared" si="2"/>
        <v>0</v>
      </c>
      <c r="M38" s="10"/>
      <c r="N38" s="182">
        <f t="shared" ca="1" si="16"/>
        <v>1.4042082439124522E-3</v>
      </c>
      <c r="O38" s="11">
        <v>1</v>
      </c>
      <c r="P38" s="11">
        <f t="shared" ca="1" si="21"/>
        <v>0.51174118636800914</v>
      </c>
      <c r="Q38" s="11">
        <f t="shared" ca="1" si="21"/>
        <v>0.48940374245869184</v>
      </c>
      <c r="R38" s="11">
        <f t="shared" ca="1" si="21"/>
        <v>0.38408962242835942</v>
      </c>
      <c r="S38" s="11">
        <f t="shared" ca="1" si="21"/>
        <v>0.4890125346778833</v>
      </c>
      <c r="T38" s="10"/>
      <c r="U38" s="150"/>
      <c r="V38" s="89">
        <f ca="1">1/(SQRT((1/(1-beta_2^batch_cnt))*((beta_2*neural_net!V62)+((1-beta_2)*neural_net!V26^2))+10^-8))</f>
        <v>0.28971614607834745</v>
      </c>
      <c r="W38" s="85">
        <f ca="1">1/(SQRT((1/(1-beta_2^batch_cnt))*((beta_2*neural_net!W62)+((1-beta_2)*neural_net!W26^2))+10^-8))</f>
        <v>2.3077302108363966</v>
      </c>
      <c r="X38" s="90">
        <f ca="1">1/(SQRT((1/(1-beta_2^batch_cnt))*((beta_2*neural_net!X62)+((1-beta_2)*neural_net!X26^2))+10^-8))</f>
        <v>0.24114819174332147</v>
      </c>
      <c r="Z38" s="60">
        <f ca="1">IF(neural_net!Z$12,0,MMULT($O38:$S38,V$14:V$18))</f>
        <v>0.46662439685232238</v>
      </c>
      <c r="AA38" s="60">
        <f ca="1">IF(neural_net!AA$12,0,MMULT($O38:$S38,W$14:W$18))</f>
        <v>-1.4631086010666792</v>
      </c>
      <c r="AB38" s="60">
        <f ca="1">IF(neural_net!AB$12,0,MMULT($O38:$S38,X$14:X$18))</f>
        <v>-0.71264254880690303</v>
      </c>
      <c r="AC38" s="58"/>
      <c r="AD38" s="60">
        <v>1</v>
      </c>
      <c r="AE38" s="60">
        <f t="shared" ca="1" si="4"/>
        <v>0.43546786045198221</v>
      </c>
      <c r="AF38" s="60">
        <f t="shared" ca="1" si="5"/>
        <v>-0.89825466810201626</v>
      </c>
      <c r="AG38" s="60">
        <f t="shared" ca="1" si="6"/>
        <v>-0.61233123232725251</v>
      </c>
      <c r="AH38" s="60">
        <f t="shared" ca="1" si="7"/>
        <v>0.83199778759271636</v>
      </c>
      <c r="AI38" s="60">
        <f t="shared" ca="1" si="8"/>
        <v>0.48813562611969319</v>
      </c>
      <c r="AJ38" s="60">
        <f t="shared" ca="1" si="9"/>
        <v>0.70213943911274557</v>
      </c>
      <c r="AK38" s="25"/>
      <c r="AL38" s="154"/>
      <c r="AM38" s="101">
        <f ca="1">1/(SQRT((1/(1-beta_2^batch_cnt))*((beta_2*neural_net!AM62)+((1-beta_2)*neural_net!AM26^2))+10^-8))</f>
        <v>2.169639467607313</v>
      </c>
      <c r="AN38" s="102">
        <f ca="1">1/(SQRT((1/(1-beta_2^batch_cnt))*((beta_2*neural_net!AN62)+((1-beta_2)*neural_net!AN26^2))+10^-8))</f>
        <v>4.451919174958137</v>
      </c>
      <c r="AP38" s="62">
        <f ca="1">IF(neural_net!AP$12,0,MMULT($AD38:$AG38,AM$14:AM$17))</f>
        <v>0.58047663727759857</v>
      </c>
      <c r="AQ38" s="62">
        <f ca="1">IF(neural_net!AQ$12,0,MMULT($AD38:$AG38,AN$14:AN$17))</f>
        <v>0.55406069435451699</v>
      </c>
      <c r="AR38" s="24"/>
      <c r="AS38" s="62">
        <v>1</v>
      </c>
      <c r="AT38" s="62">
        <f t="shared" ca="1" si="17"/>
        <v>0.58047663727759857</v>
      </c>
      <c r="AU38" s="62">
        <f t="shared" ca="1" si="10"/>
        <v>0.55406069435451699</v>
      </c>
      <c r="AV38" s="118">
        <f t="shared" ca="1" si="11"/>
        <v>1</v>
      </c>
      <c r="AW38" s="118">
        <f t="shared" ca="1" si="12"/>
        <v>1</v>
      </c>
      <c r="AX38" s="24"/>
      <c r="AY38" s="24"/>
      <c r="AZ38" s="24"/>
      <c r="BB38" s="65">
        <f t="shared" ca="1" si="13"/>
        <v>9.7763362349142166E-2</v>
      </c>
      <c r="BC38" s="36"/>
      <c r="BD38" s="65">
        <f t="shared" ca="1" si="18"/>
        <v>0.52442139270710131</v>
      </c>
      <c r="BE38" s="65">
        <f t="shared" ca="1" si="14"/>
        <v>0.24940359557824554</v>
      </c>
      <c r="BF38" s="183">
        <f t="shared" ca="1" si="19"/>
        <v>1.4042082439124522E-3</v>
      </c>
      <c r="BG38" s="183">
        <f t="shared" ca="1" si="20"/>
        <v>0.52442139270710131</v>
      </c>
    </row>
    <row r="39" spans="2:59" ht="16" thickBot="1">
      <c r="B39" s="1">
        <v>26</v>
      </c>
      <c r="C39" s="6">
        <v>4.3082178802219042</v>
      </c>
      <c r="D39" s="6">
        <v>-5.648280157034403</v>
      </c>
      <c r="E39" s="6">
        <v>0.8473879218473791</v>
      </c>
      <c r="F39" s="6">
        <v>-11.228489976397132</v>
      </c>
      <c r="G39" s="106">
        <f t="shared" si="15"/>
        <v>9.5305308300290548E-2</v>
      </c>
      <c r="I39" s="72">
        <v>0.97996896751391804</v>
      </c>
      <c r="J39" s="10">
        <f t="shared" si="0"/>
        <v>2</v>
      </c>
      <c r="K39" s="10">
        <f t="shared" si="1"/>
        <v>3</v>
      </c>
      <c r="L39" s="10">
        <f t="shared" si="2"/>
        <v>0</v>
      </c>
      <c r="M39" s="10"/>
      <c r="N39" s="182">
        <f t="shared" ca="1" si="16"/>
        <v>1</v>
      </c>
      <c r="O39" s="11">
        <v>1</v>
      </c>
      <c r="P39" s="11">
        <f t="shared" ca="1" si="21"/>
        <v>1</v>
      </c>
      <c r="Q39" s="11">
        <f t="shared" ca="1" si="21"/>
        <v>0.53555549533761726</v>
      </c>
      <c r="R39" s="11">
        <f t="shared" ca="1" si="21"/>
        <v>0.40181012310363201</v>
      </c>
      <c r="S39" s="11">
        <f t="shared" ca="1" si="21"/>
        <v>0.82429278397335992</v>
      </c>
      <c r="T39" s="10"/>
      <c r="U39" s="151"/>
      <c r="V39" s="91">
        <f ca="1">1/(SQRT((1/(1-beta_2^batch_cnt))*((beta_2*neural_net!V63)+((1-beta_2)*neural_net!V27^2))+10^-8))</f>
        <v>0.25539972412319728</v>
      </c>
      <c r="W39" s="92">
        <f ca="1">1/(SQRT((1/(1-beta_2^batch_cnt))*((beta_2*neural_net!W63)+((1-beta_2)*neural_net!W27^2))+10^-8))</f>
        <v>2.001593562528575</v>
      </c>
      <c r="X39" s="93">
        <f ca="1">1/(SQRT((1/(1-beta_2^batch_cnt))*((beta_2*neural_net!X63)+((1-beta_2)*neural_net!X27^2))+10^-8))</f>
        <v>0.21310097535585298</v>
      </c>
      <c r="Z39" s="60">
        <f ca="1">IF(neural_net!Z$12,0,MMULT($O39:$S39,V$14:V$18))</f>
        <v>0.28617327490949351</v>
      </c>
      <c r="AA39" s="60">
        <f ca="1">IF(neural_net!AA$12,0,MMULT($O39:$S39,W$14:W$18))</f>
        <v>-2.1887560697136816</v>
      </c>
      <c r="AB39" s="60">
        <f ca="1">IF(neural_net!AB$12,0,MMULT($O39:$S39,X$14:X$18))</f>
        <v>-0.54905909122650787</v>
      </c>
      <c r="AC39" s="58"/>
      <c r="AD39" s="60">
        <v>1</v>
      </c>
      <c r="AE39" s="60">
        <f t="shared" ca="1" si="4"/>
        <v>0.27860890555425605</v>
      </c>
      <c r="AF39" s="60">
        <f t="shared" ca="1" si="5"/>
        <v>-0.97519830639977378</v>
      </c>
      <c r="AG39" s="60">
        <f t="shared" ca="1" si="6"/>
        <v>-0.49981468728206851</v>
      </c>
      <c r="AH39" s="60">
        <f t="shared" ca="1" si="7"/>
        <v>0.92622414947733966</v>
      </c>
      <c r="AI39" s="60">
        <f t="shared" ca="1" si="8"/>
        <v>0.43602939417907338</v>
      </c>
      <c r="AJ39" s="60">
        <f t="shared" ca="1" si="9"/>
        <v>0.78658242002619616</v>
      </c>
      <c r="AK39" s="25"/>
      <c r="AL39" s="25"/>
      <c r="AM39" s="25"/>
      <c r="AN39" s="25"/>
      <c r="AP39" s="62">
        <f ca="1">IF(neural_net!AP$12,0,MMULT($AD39:$AG39,AM$14:AM$17))</f>
        <v>0.85524785597222797</v>
      </c>
      <c r="AQ39" s="62">
        <f ca="1">IF(neural_net!AQ$12,0,MMULT($AD39:$AG39,AN$14:AN$17))</f>
        <v>0.34646581862824682</v>
      </c>
      <c r="AR39" s="24"/>
      <c r="AS39" s="62">
        <v>1</v>
      </c>
      <c r="AT39" s="62">
        <f t="shared" ca="1" si="17"/>
        <v>0.85524785597222797</v>
      </c>
      <c r="AU39" s="62">
        <f t="shared" ca="1" si="10"/>
        <v>0.34646581862824682</v>
      </c>
      <c r="AV39" s="118">
        <f t="shared" ca="1" si="11"/>
        <v>1</v>
      </c>
      <c r="AW39" s="118">
        <f t="shared" ca="1" si="12"/>
        <v>1</v>
      </c>
      <c r="AX39" s="24"/>
      <c r="AY39" s="24"/>
      <c r="AZ39" s="24"/>
      <c r="BB39" s="65">
        <f t="shared" ca="1" si="13"/>
        <v>-6.6402923071709669E-2</v>
      </c>
      <c r="BC39" s="36"/>
      <c r="BD39" s="65">
        <f t="shared" ca="1" si="18"/>
        <v>0.48340536641047893</v>
      </c>
      <c r="BE39" s="65">
        <f t="shared" ca="1" si="14"/>
        <v>0.24972461813602953</v>
      </c>
      <c r="BF39" s="183">
        <f t="shared" ca="1" si="19"/>
        <v>1</v>
      </c>
      <c r="BG39" s="183">
        <f t="shared" ca="1" si="20"/>
        <v>0.48340536641047893</v>
      </c>
    </row>
    <row r="40" spans="2:59" ht="16" thickBot="1">
      <c r="B40" s="1">
        <v>27</v>
      </c>
      <c r="C40" s="6">
        <v>-15.27407911697161</v>
      </c>
      <c r="D40" s="6">
        <v>-15.258722600267735</v>
      </c>
      <c r="E40" s="6">
        <v>-15.246929130486413</v>
      </c>
      <c r="F40" s="6">
        <v>-12.789468366513129</v>
      </c>
      <c r="G40" s="106">
        <f t="shared" si="15"/>
        <v>0.91735541056321523</v>
      </c>
      <c r="I40" s="72">
        <v>0.79237459369625418</v>
      </c>
      <c r="J40" s="10">
        <f t="shared" si="0"/>
        <v>18</v>
      </c>
      <c r="K40" s="10">
        <f t="shared" si="1"/>
        <v>3</v>
      </c>
      <c r="L40" s="10">
        <f t="shared" si="2"/>
        <v>0</v>
      </c>
      <c r="M40" s="10"/>
      <c r="N40" s="182">
        <f t="shared" ca="1" si="16"/>
        <v>0.99758744280569722</v>
      </c>
      <c r="O40" s="11">
        <v>1</v>
      </c>
      <c r="P40" s="11">
        <f t="shared" ca="1" si="21"/>
        <v>0.2241140726760921</v>
      </c>
      <c r="Q40" s="11">
        <f t="shared" ca="1" si="21"/>
        <v>0.36482920168188943</v>
      </c>
      <c r="R40" s="11">
        <f t="shared" ca="1" si="21"/>
        <v>0.37866877327348553</v>
      </c>
      <c r="S40" s="11">
        <f t="shared" ca="1" si="21"/>
        <v>0.51661725085691412</v>
      </c>
      <c r="T40" s="10"/>
      <c r="U40" s="10"/>
      <c r="V40" s="10"/>
      <c r="W40" s="10"/>
      <c r="X40" s="10"/>
      <c r="Z40" s="60">
        <f ca="1">IF(neural_net!Z$12,0,MMULT($O40:$S40,V$14:V$18))</f>
        <v>0.41694622753725674</v>
      </c>
      <c r="AA40" s="60">
        <f ca="1">IF(neural_net!AA$12,0,MMULT($O40:$S40,W$14:W$18))</f>
        <v>-1.1329288513019926</v>
      </c>
      <c r="AB40" s="60">
        <f ca="1">IF(neural_net!AB$12,0,MMULT($O40:$S40,X$14:X$18))</f>
        <v>-1.0190298115887719</v>
      </c>
      <c r="AC40" s="58"/>
      <c r="AD40" s="60">
        <v>1</v>
      </c>
      <c r="AE40" s="60">
        <f t="shared" ca="1" si="4"/>
        <v>0.39435467874549651</v>
      </c>
      <c r="AF40" s="60">
        <f t="shared" ca="1" si="5"/>
        <v>-0.81201927663813445</v>
      </c>
      <c r="AG40" s="60">
        <f t="shared" ca="1" si="6"/>
        <v>-0.76947107756666222</v>
      </c>
      <c r="AH40" s="60">
        <f t="shared" ca="1" si="7"/>
        <v>0.85929378210238239</v>
      </c>
      <c r="AI40" s="60">
        <f t="shared" ca="1" si="8"/>
        <v>0.55015790737705428</v>
      </c>
      <c r="AJ40" s="60">
        <f t="shared" ca="1" si="9"/>
        <v>0.58188026565090412</v>
      </c>
      <c r="AK40" s="25"/>
      <c r="AL40" s="25"/>
      <c r="AM40" s="25"/>
      <c r="AN40" s="25"/>
      <c r="AP40" s="62">
        <f ca="1">IF(neural_net!AP$12,0,MMULT($AD40:$AG40,AM$14:AM$17))</f>
        <v>0.39925107436265572</v>
      </c>
      <c r="AQ40" s="62">
        <f ca="1">IF(neural_net!AQ$12,0,MMULT($AD40:$AG40,AN$14:AN$17))</f>
        <v>0.64914760654315273</v>
      </c>
      <c r="AR40" s="24"/>
      <c r="AS40" s="62">
        <v>1</v>
      </c>
      <c r="AT40" s="62">
        <f t="shared" ca="1" si="17"/>
        <v>0.39925107436265572</v>
      </c>
      <c r="AU40" s="62">
        <f t="shared" ca="1" si="10"/>
        <v>0.64914760654315273</v>
      </c>
      <c r="AV40" s="118">
        <f t="shared" ca="1" si="11"/>
        <v>1</v>
      </c>
      <c r="AW40" s="118">
        <f t="shared" ca="1" si="12"/>
        <v>1</v>
      </c>
      <c r="AX40" s="24"/>
      <c r="AY40" s="24"/>
      <c r="AZ40" s="24"/>
      <c r="BB40" s="65">
        <f t="shared" ca="1" si="13"/>
        <v>0.19690514763891381</v>
      </c>
      <c r="BC40" s="36"/>
      <c r="BD40" s="65">
        <f t="shared" ca="1" si="18"/>
        <v>0.54906785251288859</v>
      </c>
      <c r="BE40" s="65">
        <f t="shared" ca="1" si="14"/>
        <v>0.24759234584977341</v>
      </c>
      <c r="BF40" s="183">
        <f t="shared" ca="1" si="19"/>
        <v>0.99758744280569722</v>
      </c>
      <c r="BG40" s="183">
        <f t="shared" ca="1" si="20"/>
        <v>0.54906785251288859</v>
      </c>
    </row>
    <row r="41" spans="2:59">
      <c r="B41" s="1">
        <v>28</v>
      </c>
      <c r="C41" s="6">
        <v>-3.978307554823318</v>
      </c>
      <c r="D41" s="6">
        <v>5.833750307125273</v>
      </c>
      <c r="E41" s="6">
        <v>1.9675436336397785</v>
      </c>
      <c r="F41" s="6">
        <v>14.825992720320748</v>
      </c>
      <c r="G41" s="106">
        <f t="shared" si="15"/>
        <v>0.1079171664105333</v>
      </c>
      <c r="I41" s="72">
        <v>0.59867553164175491</v>
      </c>
      <c r="J41" s="10">
        <f t="shared" si="0"/>
        <v>39</v>
      </c>
      <c r="K41" s="10">
        <f t="shared" si="1"/>
        <v>3</v>
      </c>
      <c r="L41" s="10">
        <f t="shared" si="2"/>
        <v>0</v>
      </c>
      <c r="M41" s="10"/>
      <c r="N41" s="182">
        <f t="shared" ca="1" si="16"/>
        <v>0.8162741985195282</v>
      </c>
      <c r="O41" s="11">
        <v>1</v>
      </c>
      <c r="P41" s="11">
        <f t="shared" ca="1" si="21"/>
        <v>0.50803627013812369</v>
      </c>
      <c r="Q41" s="11">
        <f t="shared" ca="1" si="21"/>
        <v>0.44560087236954038</v>
      </c>
      <c r="R41" s="11">
        <f t="shared" ca="1" si="21"/>
        <v>0.45196810595394704</v>
      </c>
      <c r="S41" s="11">
        <f t="shared" ca="1" si="21"/>
        <v>0.5810511023699827</v>
      </c>
      <c r="T41" s="10"/>
      <c r="U41" s="149" t="s">
        <v>99</v>
      </c>
      <c r="V41" s="86">
        <f t="shared" ref="V41:X45" ca="1" si="22">V29*V35</f>
        <v>-0.99999999991101451</v>
      </c>
      <c r="W41" s="87">
        <f t="shared" ca="1" si="22"/>
        <v>-0.99999999424192598</v>
      </c>
      <c r="X41" s="88">
        <f t="shared" ca="1" si="22"/>
        <v>0.99999999993871524</v>
      </c>
      <c r="Z41" s="60">
        <f ca="1">IF(neural_net!Z$12,0,MMULT($O41:$S41,V$14:V$18))</f>
        <v>0.40655512292036611</v>
      </c>
      <c r="AA41" s="60">
        <f ca="1">IF(neural_net!AA$12,0,MMULT($O41:$S41,W$14:W$18))</f>
        <v>-1.5149111719088224</v>
      </c>
      <c r="AB41" s="60">
        <f ca="1">IF(neural_net!AB$12,0,MMULT($O41:$S41,X$14:X$18))</f>
        <v>-0.85349565865506727</v>
      </c>
      <c r="AC41" s="58"/>
      <c r="AD41" s="60">
        <v>1</v>
      </c>
      <c r="AE41" s="60">
        <f t="shared" ca="1" si="4"/>
        <v>0.38554376505426785</v>
      </c>
      <c r="AF41" s="60">
        <f t="shared" ca="1" si="5"/>
        <v>-0.90780672348297575</v>
      </c>
      <c r="AG41" s="60">
        <f t="shared" ca="1" si="6"/>
        <v>-0.69289127384125027</v>
      </c>
      <c r="AH41" s="60">
        <f t="shared" ca="1" si="7"/>
        <v>0.86493478083555297</v>
      </c>
      <c r="AI41" s="60">
        <f t="shared" ca="1" si="8"/>
        <v>0.48148783954502039</v>
      </c>
      <c r="AJ41" s="60">
        <f t="shared" ca="1" si="9"/>
        <v>0.64019653970506074</v>
      </c>
      <c r="AK41" s="25"/>
      <c r="AL41" s="152" t="s">
        <v>99</v>
      </c>
      <c r="AM41" s="97">
        <f t="shared" ref="AM41:AN44" ca="1" si="23">AM29*AM35</f>
        <v>0.99999999258711325</v>
      </c>
      <c r="AN41" s="98">
        <f t="shared" ca="1" si="23"/>
        <v>-0.9999999709906765</v>
      </c>
      <c r="AP41" s="62">
        <f ca="1">IF(neural_net!AP$12,0,MMULT($AD41:$AG41,AM$14:AM$17))</f>
        <v>0.53032499075934103</v>
      </c>
      <c r="AQ41" s="62">
        <f ca="1">IF(neural_net!AQ$12,0,MMULT($AD41:$AG41,AN$14:AN$17))</f>
        <v>0.59689798520708881</v>
      </c>
      <c r="AR41" s="24"/>
      <c r="AS41" s="62">
        <v>1</v>
      </c>
      <c r="AT41" s="62">
        <f t="shared" ca="1" si="17"/>
        <v>0.53032499075934103</v>
      </c>
      <c r="AU41" s="62">
        <f t="shared" ca="1" si="10"/>
        <v>0.59689798520708881</v>
      </c>
      <c r="AV41" s="118">
        <f t="shared" ca="1" si="11"/>
        <v>1</v>
      </c>
      <c r="AW41" s="118">
        <f t="shared" ca="1" si="12"/>
        <v>1</v>
      </c>
      <c r="AX41" s="24"/>
      <c r="AY41" s="146" t="s">
        <v>99</v>
      </c>
      <c r="AZ41" s="103">
        <f ca="1">AZ29*AZ35</f>
        <v>-0.99999984496535199</v>
      </c>
      <c r="BB41" s="65">
        <f t="shared" ca="1" si="13"/>
        <v>0.12880737247376506</v>
      </c>
      <c r="BC41" s="36"/>
      <c r="BD41" s="65">
        <f t="shared" ca="1" si="18"/>
        <v>0.53215739422181041</v>
      </c>
      <c r="BE41" s="65">
        <f t="shared" ca="1" si="14"/>
        <v>0.24896590199686308</v>
      </c>
      <c r="BF41" s="183">
        <f t="shared" ca="1" si="19"/>
        <v>0.8162741985195282</v>
      </c>
      <c r="BG41" s="183">
        <f t="shared" ca="1" si="20"/>
        <v>0.53215739422181041</v>
      </c>
    </row>
    <row r="42" spans="2:59">
      <c r="B42" s="1">
        <v>29</v>
      </c>
      <c r="C42" s="6">
        <v>-7.5629283164250332</v>
      </c>
      <c r="D42" s="6">
        <v>-12.696301164098898</v>
      </c>
      <c r="E42" s="6">
        <v>6.5353208535048939</v>
      </c>
      <c r="F42" s="6">
        <v>5.2508640576126862</v>
      </c>
      <c r="G42" s="106">
        <f t="shared" si="15"/>
        <v>0.7621910962166738</v>
      </c>
      <c r="I42" s="72">
        <v>7.8404816270242095E-2</v>
      </c>
      <c r="J42" s="10">
        <f t="shared" si="0"/>
        <v>91</v>
      </c>
      <c r="K42" s="10">
        <f t="shared" si="1"/>
        <v>3</v>
      </c>
      <c r="L42" s="10">
        <f t="shared" si="2"/>
        <v>0</v>
      </c>
      <c r="M42" s="10"/>
      <c r="N42" s="182">
        <f t="shared" ca="1" si="16"/>
        <v>0.72661718755908178</v>
      </c>
      <c r="O42" s="11">
        <v>1</v>
      </c>
      <c r="P42" s="11">
        <f t="shared" ca="1" si="21"/>
        <v>0.71299788068156311</v>
      </c>
      <c r="Q42" s="11">
        <f t="shared" ca="1" si="21"/>
        <v>0.30351344603861802</v>
      </c>
      <c r="R42" s="11">
        <f t="shared" ca="1" si="21"/>
        <v>0.70322587811709936</v>
      </c>
      <c r="S42" s="11">
        <f t="shared" ca="1" si="21"/>
        <v>0.43137026643532095</v>
      </c>
      <c r="T42" s="10"/>
      <c r="U42" s="150"/>
      <c r="V42" s="89">
        <f t="shared" ca="1" si="22"/>
        <v>-0.99999999969982689</v>
      </c>
      <c r="W42" s="85">
        <f t="shared" ca="1" si="22"/>
        <v>-0.99999998166866066</v>
      </c>
      <c r="X42" s="90">
        <f t="shared" ca="1" si="22"/>
        <v>0.99999999979458654</v>
      </c>
      <c r="Z42" s="60">
        <f ca="1">IF(neural_net!Z$12,0,MMULT($O42:$S42,V$14:V$18))</f>
        <v>0.38338854798449007</v>
      </c>
      <c r="AA42" s="60">
        <f ca="1">IF(neural_net!AA$12,0,MMULT($O42:$S42,W$14:W$18))</f>
        <v>-1.5239917608326783</v>
      </c>
      <c r="AB42" s="60">
        <f ca="1">IF(neural_net!AB$12,0,MMULT($O42:$S42,X$14:X$18))</f>
        <v>-0.7850150338072055</v>
      </c>
      <c r="AC42" s="58"/>
      <c r="AD42" s="60">
        <v>1</v>
      </c>
      <c r="AE42" s="60">
        <f t="shared" ca="1" si="4"/>
        <v>0.36564660574612096</v>
      </c>
      <c r="AF42" s="60">
        <f t="shared" ca="1" si="5"/>
        <v>-0.90939077902515264</v>
      </c>
      <c r="AG42" s="60">
        <f t="shared" ca="1" si="6"/>
        <v>-0.65557578920006121</v>
      </c>
      <c r="AH42" s="60">
        <f t="shared" ca="1" si="7"/>
        <v>0.87737537564891899</v>
      </c>
      <c r="AI42" s="60">
        <f t="shared" ca="1" si="8"/>
        <v>0.48039009972093993</v>
      </c>
      <c r="AJ42" s="60">
        <f t="shared" ca="1" si="9"/>
        <v>0.66890150713040386</v>
      </c>
      <c r="AK42" s="25"/>
      <c r="AL42" s="153"/>
      <c r="AM42" s="99">
        <f t="shared" ca="1" si="23"/>
        <v>0.99999995408141273</v>
      </c>
      <c r="AN42" s="100">
        <f t="shared" ca="1" si="23"/>
        <v>-0.99999980136392774</v>
      </c>
      <c r="AP42" s="62">
        <f ca="1">IF(neural_net!AP$12,0,MMULT($AD42:$AG42,AM$14:AM$17))</f>
        <v>0.58802945710512633</v>
      </c>
      <c r="AQ42" s="62">
        <f ca="1">IF(neural_net!AQ$12,0,MMULT($AD42:$AG42,AN$14:AN$17))</f>
        <v>0.5456011750537173</v>
      </c>
      <c r="AR42" s="24"/>
      <c r="AS42" s="62">
        <v>1</v>
      </c>
      <c r="AT42" s="62">
        <f t="shared" ca="1" si="17"/>
        <v>0.58802945710512633</v>
      </c>
      <c r="AU42" s="62">
        <f t="shared" ca="1" si="10"/>
        <v>0.5456011750537173</v>
      </c>
      <c r="AV42" s="118">
        <f t="shared" ca="1" si="11"/>
        <v>1</v>
      </c>
      <c r="AW42" s="118">
        <f t="shared" ca="1" si="12"/>
        <v>1</v>
      </c>
      <c r="AX42" s="24"/>
      <c r="AY42" s="147"/>
      <c r="AZ42" s="104">
        <f ca="1">AZ30*AZ36</f>
        <v>-0.99999963716554119</v>
      </c>
      <c r="BB42" s="65">
        <f t="shared" ca="1" si="13"/>
        <v>9.2649642051089803E-2</v>
      </c>
      <c r="BC42" s="36"/>
      <c r="BD42" s="65">
        <f t="shared" ca="1" si="18"/>
        <v>0.52314585596325636</v>
      </c>
      <c r="BE42" s="65">
        <f t="shared" ca="1" si="14"/>
        <v>0.24946426935172819</v>
      </c>
      <c r="BF42" s="183">
        <f t="shared" ca="1" si="19"/>
        <v>0.72661718755908178</v>
      </c>
      <c r="BG42" s="183">
        <f t="shared" ca="1" si="20"/>
        <v>0.52314585596325636</v>
      </c>
    </row>
    <row r="43" spans="2:59" ht="16" thickBot="1">
      <c r="B43" s="1">
        <v>30</v>
      </c>
      <c r="C43" s="6">
        <v>0.55153040338915649</v>
      </c>
      <c r="D43" s="6">
        <v>4.9425117697947094</v>
      </c>
      <c r="E43" s="6">
        <v>-17.004402731194432</v>
      </c>
      <c r="F43" s="6">
        <v>21.445271087639437</v>
      </c>
      <c r="G43" s="106">
        <f t="shared" si="15"/>
        <v>0.67507462642630434</v>
      </c>
      <c r="I43" s="72">
        <v>9.3065401753508414E-2</v>
      </c>
      <c r="J43" s="10">
        <f t="shared" si="0"/>
        <v>90</v>
      </c>
      <c r="K43" s="10">
        <f t="shared" si="1"/>
        <v>3</v>
      </c>
      <c r="L43" s="10">
        <f t="shared" si="2"/>
        <v>0</v>
      </c>
      <c r="M43" s="10"/>
      <c r="N43" s="182">
        <f t="shared" ca="1" si="16"/>
        <v>2.9671745129693788E-6</v>
      </c>
      <c r="O43" s="11">
        <v>1</v>
      </c>
      <c r="P43" s="11">
        <f t="shared" ca="1" si="21"/>
        <v>0.28572496776514328</v>
      </c>
      <c r="Q43" s="11">
        <f t="shared" ca="1" si="21"/>
        <v>0.56014358768445804</v>
      </c>
      <c r="R43" s="11">
        <f t="shared" ca="1" si="21"/>
        <v>0.38270521073436248</v>
      </c>
      <c r="S43" s="11">
        <f t="shared" ca="1" si="21"/>
        <v>0.99521079493865783</v>
      </c>
      <c r="T43" s="10"/>
      <c r="U43" s="150"/>
      <c r="V43" s="89">
        <f t="shared" ca="1" si="22"/>
        <v>-0.99999999966456565</v>
      </c>
      <c r="W43" s="85">
        <f t="shared" ca="1" si="22"/>
        <v>-0.99999997970722443</v>
      </c>
      <c r="X43" s="90">
        <f t="shared" ca="1" si="22"/>
        <v>0.99999999977103748</v>
      </c>
      <c r="Z43" s="60">
        <f ca="1">IF(neural_net!Z$12,0,MMULT($O43:$S43,V$14:V$18))</f>
        <v>0.31504210526045334</v>
      </c>
      <c r="AA43" s="60">
        <f ca="1">IF(neural_net!AA$12,0,MMULT($O43:$S43,W$14:W$18))</f>
        <v>-1.7276379472886374</v>
      </c>
      <c r="AB43" s="60">
        <f ca="1">IF(neural_net!AB$12,0,MMULT($O43:$S43,X$14:X$18))</f>
        <v>-1.2956662749945109</v>
      </c>
      <c r="AC43" s="58"/>
      <c r="AD43" s="60">
        <v>1</v>
      </c>
      <c r="AE43" s="60">
        <f t="shared" ca="1" si="4"/>
        <v>0.30501711285497135</v>
      </c>
      <c r="AF43" s="60">
        <f t="shared" ca="1" si="5"/>
        <v>-0.93877618036270816</v>
      </c>
      <c r="AG43" s="60">
        <f t="shared" ca="1" si="6"/>
        <v>-0.86060333970794156</v>
      </c>
      <c r="AH43" s="60">
        <f t="shared" ca="1" si="7"/>
        <v>0.91244483592032488</v>
      </c>
      <c r="AI43" s="60">
        <f t="shared" ca="1" si="8"/>
        <v>0.46027547043464179</v>
      </c>
      <c r="AJ43" s="60">
        <f t="shared" ca="1" si="9"/>
        <v>0.51479246694486092</v>
      </c>
      <c r="AK43" s="25"/>
      <c r="AL43" s="153"/>
      <c r="AM43" s="99">
        <f t="shared" ca="1" si="23"/>
        <v>-0.99999999056884403</v>
      </c>
      <c r="AN43" s="100">
        <f t="shared" ca="1" si="23"/>
        <v>0.99999996088045262</v>
      </c>
      <c r="AP43" s="62">
        <f ca="1">IF(neural_net!AP$12,0,MMULT($AD43:$AG43,AM$14:AM$17))</f>
        <v>0.41283013331583773</v>
      </c>
      <c r="AQ43" s="62">
        <f ca="1">IF(neural_net!AQ$12,0,MMULT($AD43:$AG43,AN$14:AN$17))</f>
        <v>0.70757200497723383</v>
      </c>
      <c r="AR43" s="24"/>
      <c r="AS43" s="62">
        <v>1</v>
      </c>
      <c r="AT43" s="62">
        <f t="shared" ca="1" si="17"/>
        <v>0.41283013331583773</v>
      </c>
      <c r="AU43" s="62">
        <f t="shared" ca="1" si="10"/>
        <v>0.70757200497723383</v>
      </c>
      <c r="AV43" s="118">
        <f t="shared" ca="1" si="11"/>
        <v>1</v>
      </c>
      <c r="AW43" s="118">
        <f t="shared" ca="1" si="12"/>
        <v>1</v>
      </c>
      <c r="AX43" s="24"/>
      <c r="AY43" s="148"/>
      <c r="AZ43" s="105">
        <f ca="1">AZ31*AZ37</f>
        <v>-0.99999946562891862</v>
      </c>
      <c r="BB43" s="65">
        <f t="shared" ca="1" si="13"/>
        <v>0.20378936147890958</v>
      </c>
      <c r="BC43" s="36"/>
      <c r="BD43" s="65">
        <f t="shared" ca="1" si="18"/>
        <v>0.55077174887229119</v>
      </c>
      <c r="BE43" s="65">
        <f t="shared" ca="1" si="14"/>
        <v>0.24742222951644899</v>
      </c>
      <c r="BF43" s="183">
        <f t="shared" ca="1" si="19"/>
        <v>2.9671745129693788E-6</v>
      </c>
      <c r="BG43" s="183">
        <f t="shared" ca="1" si="20"/>
        <v>0.55077174887229119</v>
      </c>
    </row>
    <row r="44" spans="2:59" ht="16" thickBot="1">
      <c r="B44" s="1">
        <v>31</v>
      </c>
      <c r="C44" s="6">
        <v>-11.643606802040349</v>
      </c>
      <c r="D44" s="6">
        <v>10.845001022235902</v>
      </c>
      <c r="E44" s="6">
        <v>4.6019840873407061</v>
      </c>
      <c r="F44" s="6">
        <v>3.2032951025427208</v>
      </c>
      <c r="G44" s="106">
        <f t="shared" si="15"/>
        <v>1.9091522228751E-2</v>
      </c>
      <c r="I44" s="72">
        <v>0.50135806927926785</v>
      </c>
      <c r="J44" s="10">
        <f t="shared" si="0"/>
        <v>48</v>
      </c>
      <c r="K44" s="10">
        <f t="shared" si="1"/>
        <v>4</v>
      </c>
      <c r="L44" s="10">
        <f t="shared" si="2"/>
        <v>0</v>
      </c>
      <c r="M44" s="10"/>
      <c r="N44" s="182">
        <f t="shared" ca="1" si="16"/>
        <v>0.98086167603969143</v>
      </c>
      <c r="O44" s="11">
        <v>1</v>
      </c>
      <c r="P44" s="11">
        <f t="shared" ca="1" si="21"/>
        <v>0.83079769070355058</v>
      </c>
      <c r="Q44" s="11">
        <f t="shared" ca="1" si="21"/>
        <v>0.64815377751407455</v>
      </c>
      <c r="R44" s="11">
        <f t="shared" ca="1" si="21"/>
        <v>0.4170998693616475</v>
      </c>
      <c r="S44" s="11">
        <f t="shared" ca="1" si="21"/>
        <v>0.12542516793584402</v>
      </c>
      <c r="T44" s="10"/>
      <c r="U44" s="150"/>
      <c r="V44" s="89">
        <f t="shared" ca="1" si="22"/>
        <v>-0.99999999958032271</v>
      </c>
      <c r="W44" s="85">
        <f t="shared" ca="1" si="22"/>
        <v>-0.99999997337190594</v>
      </c>
      <c r="X44" s="90">
        <f t="shared" ca="1" si="22"/>
        <v>0.9999999997092377</v>
      </c>
      <c r="Z44" s="60">
        <f ca="1">IF(neural_net!Z$12,0,MMULT($O44:$S44,V$14:V$18))</f>
        <v>0.68228702546800124</v>
      </c>
      <c r="AA44" s="60">
        <f ca="1">IF(neural_net!AA$12,0,MMULT($O44:$S44,W$14:W$18))</f>
        <v>-1.5917240696263113</v>
      </c>
      <c r="AB44" s="60">
        <f ca="1">IF(neural_net!AB$12,0,MMULT($O44:$S44,X$14:X$18))</f>
        <v>-0.12244132048608936</v>
      </c>
      <c r="AC44" s="58"/>
      <c r="AD44" s="60">
        <v>1</v>
      </c>
      <c r="AE44" s="60">
        <f t="shared" ca="1" si="4"/>
        <v>0.59300419042834429</v>
      </c>
      <c r="AF44" s="60">
        <f t="shared" ca="1" si="5"/>
        <v>-0.92041325647456473</v>
      </c>
      <c r="AG44" s="60">
        <f t="shared" ca="1" si="6"/>
        <v>-0.12183309254663637</v>
      </c>
      <c r="AH44" s="60">
        <f t="shared" ca="1" si="7"/>
        <v>0.71691980449464032</v>
      </c>
      <c r="AI44" s="60">
        <f t="shared" ca="1" si="8"/>
        <v>0.4727891634991167</v>
      </c>
      <c r="AJ44" s="60">
        <f t="shared" ca="1" si="9"/>
        <v>0.98530235400528499</v>
      </c>
      <c r="AK44" s="25"/>
      <c r="AL44" s="154"/>
      <c r="AM44" s="101">
        <f t="shared" ca="1" si="23"/>
        <v>-0.99999997646332262</v>
      </c>
      <c r="AN44" s="102">
        <f t="shared" ca="1" si="23"/>
        <v>0.99999990090207336</v>
      </c>
      <c r="AP44" s="62">
        <f ca="1">IF(neural_net!AP$12,0,MMULT($AD44:$AG44,AM$14:AM$17))</f>
        <v>1.0268106911251729</v>
      </c>
      <c r="AQ44" s="62">
        <f ca="1">IF(neural_net!AQ$12,0,MMULT($AD44:$AG44,AN$14:AN$17))</f>
        <v>0.20445464767276411</v>
      </c>
      <c r="AR44" s="24"/>
      <c r="AS44" s="62">
        <v>1</v>
      </c>
      <c r="AT44" s="62">
        <f t="shared" ca="1" si="17"/>
        <v>1.0268106911251729</v>
      </c>
      <c r="AU44" s="62">
        <f t="shared" ca="1" si="10"/>
        <v>0.20445464767276411</v>
      </c>
      <c r="AV44" s="118">
        <f t="shared" ca="1" si="11"/>
        <v>1</v>
      </c>
      <c r="AW44" s="118">
        <f t="shared" ca="1" si="12"/>
        <v>1</v>
      </c>
      <c r="AX44" s="24"/>
      <c r="AY44" s="24"/>
      <c r="AZ44" s="24"/>
      <c r="BB44" s="65">
        <f t="shared" ca="1" si="13"/>
        <v>-0.17161163772572752</v>
      </c>
      <c r="BC44" s="36"/>
      <c r="BD44" s="65">
        <f t="shared" ca="1" si="18"/>
        <v>0.45720207426823023</v>
      </c>
      <c r="BE44" s="65">
        <f t="shared" ca="1" si="14"/>
        <v>0.24816833755305792</v>
      </c>
      <c r="BF44" s="183">
        <f t="shared" ca="1" si="19"/>
        <v>0.98086167603969143</v>
      </c>
      <c r="BG44" s="183">
        <f t="shared" ca="1" si="20"/>
        <v>0.45720207426823023</v>
      </c>
    </row>
    <row r="45" spans="2:59" ht="16" thickBot="1">
      <c r="B45" s="1">
        <v>32</v>
      </c>
      <c r="C45" s="6">
        <v>-1.6770019192954129</v>
      </c>
      <c r="D45" s="6">
        <v>14.36072355581163</v>
      </c>
      <c r="E45" s="6">
        <v>-4.5772522369661077</v>
      </c>
      <c r="F45" s="6">
        <v>1.3143955210009297</v>
      </c>
      <c r="G45" s="106">
        <f t="shared" si="15"/>
        <v>0.80073102502595095</v>
      </c>
      <c r="I45" s="72">
        <v>0.54610165591333104</v>
      </c>
      <c r="J45" s="10">
        <f t="shared" si="0"/>
        <v>44</v>
      </c>
      <c r="K45" s="10">
        <f t="shared" si="1"/>
        <v>4</v>
      </c>
      <c r="L45" s="10">
        <f t="shared" si="2"/>
        <v>0</v>
      </c>
      <c r="M45" s="10"/>
      <c r="N45" s="182">
        <f t="shared" ca="1" si="16"/>
        <v>0.93641442406206832</v>
      </c>
      <c r="O45" s="11">
        <v>1</v>
      </c>
      <c r="P45" s="11">
        <f t="shared" ca="1" si="21"/>
        <v>0.33450911235510511</v>
      </c>
      <c r="Q45" s="11">
        <f t="shared" ca="1" si="21"/>
        <v>0.28275200310356335</v>
      </c>
      <c r="R45" s="11">
        <f t="shared" ca="1" si="21"/>
        <v>0.63091722620650237</v>
      </c>
      <c r="S45" s="11">
        <f t="shared" ca="1" si="21"/>
        <v>0.36390683703399096</v>
      </c>
      <c r="T45" s="10"/>
      <c r="U45" s="151"/>
      <c r="V45" s="91">
        <f t="shared" ca="1" si="22"/>
        <v>-0.999999999673855</v>
      </c>
      <c r="W45" s="92">
        <f t="shared" ca="1" si="22"/>
        <v>-0.99999997996811596</v>
      </c>
      <c r="X45" s="93">
        <f t="shared" ca="1" si="22"/>
        <v>0.99999999977293985</v>
      </c>
      <c r="Z45" s="60">
        <f ca="1">IF(neural_net!Z$12,0,MMULT($O45:$S45,V$14:V$18))</f>
        <v>0.44274615396347328</v>
      </c>
      <c r="AA45" s="60">
        <f ca="1">IF(neural_net!AA$12,0,MMULT($O45:$S45,W$14:W$18))</f>
        <v>-1.1092645524803708</v>
      </c>
      <c r="AB45" s="60">
        <f ca="1">IF(neural_net!AB$12,0,MMULT($O45:$S45,X$14:X$18))</f>
        <v>-1.0160916973543008</v>
      </c>
      <c r="AC45" s="58"/>
      <c r="AD45" s="60">
        <v>1</v>
      </c>
      <c r="AE45" s="60">
        <f t="shared" ca="1" si="4"/>
        <v>0.41591813599597294</v>
      </c>
      <c r="AF45" s="60">
        <f t="shared" ca="1" si="5"/>
        <v>-0.80380226894062567</v>
      </c>
      <c r="AG45" s="60">
        <f t="shared" ca="1" si="6"/>
        <v>-0.76826986663671026</v>
      </c>
      <c r="AH45" s="60">
        <f t="shared" ca="1" si="7"/>
        <v>0.84516867363974613</v>
      </c>
      <c r="AI45" s="60">
        <f t="shared" ca="1" si="8"/>
        <v>0.55623473852789318</v>
      </c>
      <c r="AJ45" s="60">
        <f t="shared" ca="1" si="9"/>
        <v>0.58278440529828557</v>
      </c>
      <c r="AK45" s="25"/>
      <c r="AL45" s="25"/>
      <c r="AM45" s="25"/>
      <c r="AN45" s="25"/>
      <c r="AP45" s="62">
        <f ca="1">IF(neural_net!AP$12,0,MMULT($AD45:$AG45,AM$14:AM$17))</f>
        <v>0.38127571002369576</v>
      </c>
      <c r="AQ45" s="62">
        <f ca="1">IF(neural_net!AQ$12,0,MMULT($AD45:$AG45,AN$14:AN$17))</f>
        <v>0.66215309350259532</v>
      </c>
      <c r="AR45" s="24"/>
      <c r="AS45" s="62">
        <v>1</v>
      </c>
      <c r="AT45" s="62">
        <f t="shared" ca="1" si="17"/>
        <v>0.38127571002369576</v>
      </c>
      <c r="AU45" s="62">
        <f t="shared" ca="1" si="10"/>
        <v>0.66215309350259532</v>
      </c>
      <c r="AV45" s="118">
        <f t="shared" ca="1" si="11"/>
        <v>1</v>
      </c>
      <c r="AW45" s="118">
        <f t="shared" ca="1" si="12"/>
        <v>1</v>
      </c>
      <c r="AX45" s="24"/>
      <c r="AY45" s="24"/>
      <c r="AZ45" s="24"/>
      <c r="BB45" s="65">
        <f t="shared" ca="1" si="13"/>
        <v>0.20751919969751362</v>
      </c>
      <c r="BC45" s="36"/>
      <c r="BD45" s="65">
        <f t="shared" ca="1" si="18"/>
        <v>0.55169441796419316</v>
      </c>
      <c r="BE45" s="65">
        <f t="shared" ca="1" si="14"/>
        <v>0.24732768715134329</v>
      </c>
      <c r="BF45" s="183">
        <f t="shared" ca="1" si="19"/>
        <v>0.93641442406206832</v>
      </c>
      <c r="BG45" s="183">
        <f t="shared" ca="1" si="20"/>
        <v>0.55169441796419316</v>
      </c>
    </row>
    <row r="46" spans="2:59" ht="16" thickBot="1">
      <c r="B46" s="1">
        <v>33</v>
      </c>
      <c r="C46" s="6">
        <v>-10.120403984117768</v>
      </c>
      <c r="D46" s="6">
        <v>-11.792345520247755</v>
      </c>
      <c r="E46" s="6">
        <v>-4.3509423971998835</v>
      </c>
      <c r="F46" s="6">
        <v>-12.95860508442582</v>
      </c>
      <c r="G46" s="106">
        <f t="shared" si="15"/>
        <v>0.91734252749748801</v>
      </c>
      <c r="I46" s="72">
        <v>0.73609381797603923</v>
      </c>
      <c r="J46" s="10">
        <f t="shared" ref="J46:J77" si="24">RANK(I46,shuffle,0)</f>
        <v>24</v>
      </c>
      <c r="K46" s="10">
        <f t="shared" ref="K46:K77" si="25">CEILING(B46/batch_size,1)</f>
        <v>4</v>
      </c>
      <c r="L46" s="10">
        <f t="shared" ref="L46:L77" si="26">(K46=batch_num)/1</f>
        <v>0</v>
      </c>
      <c r="M46" s="10"/>
      <c r="N46" s="182">
        <f t="shared" ca="1" si="16"/>
        <v>2.7992542677366442E-3</v>
      </c>
      <c r="O46" s="11">
        <v>1</v>
      </c>
      <c r="P46" s="11">
        <f t="shared" ca="1" si="21"/>
        <v>0.39107681345355255</v>
      </c>
      <c r="Q46" s="11">
        <f t="shared" ca="1" si="21"/>
        <v>0.57540989879960969</v>
      </c>
      <c r="R46" s="11">
        <f t="shared" ca="1" si="21"/>
        <v>0.44403543140056129</v>
      </c>
      <c r="S46" s="11">
        <f t="shared" ca="1" si="21"/>
        <v>0.38196024659713668</v>
      </c>
      <c r="T46" s="10"/>
      <c r="U46" s="10"/>
      <c r="V46" s="10"/>
      <c r="W46" s="10"/>
      <c r="X46" s="10"/>
      <c r="Z46" s="60">
        <f ca="1">IF(neural_net!Z$12,0,MMULT($O46:$S46,V$14:V$18))</f>
        <v>0.58494629608095705</v>
      </c>
      <c r="AA46" s="60">
        <f ca="1">IF(neural_net!AA$12,0,MMULT($O46:$S46,W$14:W$18))</f>
        <v>-1.3644122753929344</v>
      </c>
      <c r="AB46" s="60">
        <f ca="1">IF(neural_net!AB$12,0,MMULT($O46:$S46,X$14:X$18))</f>
        <v>-0.75654308830924744</v>
      </c>
      <c r="AC46" s="58"/>
      <c r="AD46" s="60">
        <v>1</v>
      </c>
      <c r="AE46" s="60">
        <f t="shared" ref="AE46:AE77" ca="1" si="27" xml:space="preserve">
IF(activation_2="Sigmoid",(1+EXP(-Z46))^-1,
IF(activation_2="Tanh",TANH(Z46),
IF(activation_2="Leaky ReLU",MAX(Z46,0),
IF(activation_2="Exponential",EXP(Z46),0)
)))</f>
        <v>0.52625120141301052</v>
      </c>
      <c r="AF46" s="60">
        <f t="shared" ref="AF46:AF77" ca="1" si="28" xml:space="preserve">
IF(activation_2="Sigmoid",(1+EXP(-AA46))^-1,
IF(activation_2="Tanh",TANH(AA46),
IF(activation_2="Leaky ReLU",MAX(AA46,0),
IF(activation_2="Exponential",EXP(AA46),0)
)))</f>
        <v>-0.87741248083785806</v>
      </c>
      <c r="AG46" s="60">
        <f t="shared" ref="AG46:AG77" ca="1" si="29" xml:space="preserve">
IF(activation_2="Sigmoid",(1+EXP(-AB46))^-1,
IF(activation_2="Tanh",TANH(AB46),
IF(activation_2="Leaky ReLU",MAX(AB46,0),
IF(activation_2="Exponential",EXP(AB46),0)
)))</f>
        <v>-0.63903625554746912</v>
      </c>
      <c r="AH46" s="60">
        <f t="shared" ref="AH46:AH77" ca="1" si="30" xml:space="preserve">
IF(activation_2="Sigmoid",AE46*(1-AE46),
IF(activation_2="Tanh",1-TANH(AE46)^2,
IF(activation_2="Leaky ReLU",IF(AE46&gt;0.01,1,0),
IF(activation_2="Exponential",AE46*EXP(AE46),0)
)))</f>
        <v>0.76718383045192529</v>
      </c>
      <c r="AI46" s="60">
        <f t="shared" ref="AI46:AI77" ca="1" si="31" xml:space="preserve">
IF(activation_2="Sigmoid",AF46*(1-AF46),
IF(activation_2="Tanh",1-TANH(AF46)^2,
IF(activation_2="Leaky ReLU",IF(AF46&gt;0.01,1,0),
IF(activation_2="Exponential",AF46*EXP(AF46),0)
)))</f>
        <v>0.50280483291155398</v>
      </c>
      <c r="AJ46" s="60">
        <f t="shared" ref="AJ46:AJ77" ca="1" si="32" xml:space="preserve">
IF(activation_2="Sigmoid",AG46*(1-AG46),
IF(activation_2="Tanh",1-TANH(AG46)^2,
IF(activation_2="Leaky ReLU",IF(AG46&gt;0.01,1,0),
IF(activation_2="Exponential",AG46*EXP(AG46),0)
)))</f>
        <v>0.68162984474208643</v>
      </c>
      <c r="AK46" s="25"/>
      <c r="AL46" s="25"/>
      <c r="AM46" s="25"/>
      <c r="AN46" s="25"/>
      <c r="AP46" s="62">
        <f ca="1">IF(neural_net!AP$12,0,MMULT($AD46:$AG46,AM$14:AM$17))</f>
        <v>0.47428292695976793</v>
      </c>
      <c r="AQ46" s="62">
        <f ca="1">IF(neural_net!AQ$12,0,MMULT($AD46:$AG46,AN$14:AN$17))</f>
        <v>0.64398204106338275</v>
      </c>
      <c r="AR46" s="24"/>
      <c r="AS46" s="62">
        <v>1</v>
      </c>
      <c r="AT46" s="62">
        <f t="shared" ref="AT46:AT77" ca="1" si="33" xml:space="preserve">
IF(activation_3="Sigmoid",(1+EXP(-AP46))^-1,
IF(activation_3="Tanh",TANH(AP46),
IF(activation_3="Leaky ReLU",MAX(AP46,0),
IF(activation_3="Exponential",EXP(AP46),0)
)))</f>
        <v>0.47428292695976793</v>
      </c>
      <c r="AU46" s="62">
        <f t="shared" ref="AU46:AU77" ca="1" si="34" xml:space="preserve">
IF(activation_3="Sigmoid",(1+EXP(-AQ46))^-1,
IF(activation_3="Tanh",TANH(AQ46),
IF(activation_3="Leaky ReLU",MAX(AQ46,0),
IF(activation_3="Exponential",EXP(AQ46),0)
)))</f>
        <v>0.64398204106338275</v>
      </c>
      <c r="AV46" s="118">
        <f t="shared" ref="AV46:AV77" ca="1" si="35" xml:space="preserve">
IF(activation_3="Sigmoid",AT46*(1-AT46),
IF(activation_3="Tanh",1-TANH(AT46)^2,
IF(activation_3="Leaky ReLU",IF(AT46&gt;0.01,1,0),
IF(activation_3="Exponential",AT46*EXP(AT46),0)
)))</f>
        <v>1</v>
      </c>
      <c r="AW46" s="118">
        <f t="shared" ref="AW46:AW77" ca="1" si="36" xml:space="preserve">
IF(activation_3="Sigmoid",AU46*(1-AU46),
IF(activation_3="Tanh",1-TANH(AU46)^2,
IF(activation_3="Leaky ReLU",IF(AU46&gt;0.01,1,0),
IF(activation_3="Exponential",AU46*EXP(AU46),0)
)))</f>
        <v>1</v>
      </c>
      <c r="AX46" s="24"/>
      <c r="AY46" s="24"/>
      <c r="AZ46" s="24"/>
      <c r="BB46" s="65">
        <f t="shared" ref="BB46:BB77" ca="1" si="37">MMULT($AS46:$AU46,AZ$14:AZ$16)</f>
        <v>0.16332625570940659</v>
      </c>
      <c r="BC46" s="36"/>
      <c r="BD46" s="65">
        <f t="shared" ref="BD46:BD77" ca="1" si="38" xml:space="preserve">
IF(activation_4="Sigmoid",(1+EXP(-BB46))^-1,
IF(activation_4="Tanh",TANH(BB46),
IF(activation_4="Leaky ReLU",MAX(BB46,0),
IF(activation_4="Exponential",EXP(BB46),0)
)))</f>
        <v>0.54074103865113721</v>
      </c>
      <c r="BE46" s="65">
        <f t="shared" ref="BE46:BE77" ca="1" si="39" xml:space="preserve">
IF(activation_4="Sigmoid",BD46*(1-BD46),
IF(activation_4="Tanh",1-TANH(BD46)^2,
IF(activation_4="Leaky ReLU",IF(BD46&gt;0.01,1,0),
IF(activation_4="Exponential",AT46*EXP(AT46),0)
)))</f>
        <v>0.24834016776962656</v>
      </c>
      <c r="BF46" s="183">
        <f t="shared" ref="BF46:BF77" ca="1" si="40">((MAX(y)-MIN(y))*N46)+MIN(y)</f>
        <v>2.7992542677366442E-3</v>
      </c>
      <c r="BG46" s="183">
        <f t="shared" ref="BG46:BG77" ca="1" si="41">((MAX(y)-MIN(y))*BD46)+MIN(y)</f>
        <v>0.54074103865113721</v>
      </c>
    </row>
    <row r="47" spans="2:59">
      <c r="B47" s="1">
        <v>34</v>
      </c>
      <c r="C47" s="6">
        <v>-1.7814716984450585</v>
      </c>
      <c r="D47" s="6">
        <v>-1.6340120401731448</v>
      </c>
      <c r="E47" s="6">
        <v>-5.159632089399711</v>
      </c>
      <c r="F47" s="6">
        <v>-12.763682721514344</v>
      </c>
      <c r="G47" s="106">
        <f t="shared" si="15"/>
        <v>0.9555792146730161</v>
      </c>
      <c r="I47" s="72">
        <v>0.78947954224496109</v>
      </c>
      <c r="J47" s="10">
        <f t="shared" si="24"/>
        <v>20</v>
      </c>
      <c r="K47" s="10">
        <f t="shared" si="25"/>
        <v>4</v>
      </c>
      <c r="L47" s="10">
        <f t="shared" si="26"/>
        <v>0</v>
      </c>
      <c r="M47" s="10"/>
      <c r="N47" s="182">
        <f t="shared" ca="1" si="16"/>
        <v>3.3126900137256623E-5</v>
      </c>
      <c r="O47" s="11">
        <v>1</v>
      </c>
      <c r="P47" s="11">
        <f t="shared" ca="1" si="21"/>
        <v>0.39799116879629187</v>
      </c>
      <c r="Q47" s="11">
        <f t="shared" ca="1" si="21"/>
        <v>0.5443940620897213</v>
      </c>
      <c r="R47" s="11">
        <f t="shared" ca="1" si="21"/>
        <v>0.8294309590332033</v>
      </c>
      <c r="S47" s="11">
        <f t="shared" ca="1" si="21"/>
        <v>0.37717008986755979</v>
      </c>
      <c r="T47" s="10"/>
      <c r="U47" s="155" t="s">
        <v>49</v>
      </c>
      <c r="V47" s="12">
        <f ca="1">V14-learning_rate*(
IF(optimization="Gradient Descent",V23,
IF(optimization="Momentum",V29,
IF(optimization="RMS Prop",V35,
V41))))</f>
        <v>0.43408584470782396</v>
      </c>
      <c r="W47" s="13">
        <f t="shared" ref="V47:X51" ca="1" si="42">W14-learning_rate*(
IF(optimization="Gradient Descent",W23,
IF(optimization="Momentum",W29,
IF(optimization="RMS Prop",W35,
W41))))</f>
        <v>-0.11175627112934983</v>
      </c>
      <c r="X47" s="14">
        <f t="shared" ca="1" si="42"/>
        <v>-0.62421067988884482</v>
      </c>
      <c r="Z47" s="60">
        <f ca="1">IF(neural_net!Z$12,0,MMULT($O47:$S47,V$14:V$18))</f>
        <v>0.6005440520987374</v>
      </c>
      <c r="AA47" s="60">
        <f ca="1">IF(neural_net!AA$12,0,MMULT($O47:$S47,W$14:W$18))</f>
        <v>-1.449079583829127</v>
      </c>
      <c r="AB47" s="60">
        <f ca="1">IF(neural_net!AB$12,0,MMULT($O47:$S47,X$14:X$18))</f>
        <v>-1.0514468386432405</v>
      </c>
      <c r="AC47" s="58"/>
      <c r="AD47" s="60">
        <v>1</v>
      </c>
      <c r="AE47" s="60">
        <f t="shared" ca="1" si="27"/>
        <v>0.5374365892536983</v>
      </c>
      <c r="AF47" s="60">
        <f t="shared" ca="1" si="28"/>
        <v>-0.89551072590504888</v>
      </c>
      <c r="AG47" s="60">
        <f t="shared" ca="1" si="29"/>
        <v>-0.78236822188455668</v>
      </c>
      <c r="AH47" s="60">
        <f t="shared" ca="1" si="30"/>
        <v>0.75887470098605669</v>
      </c>
      <c r="AI47" s="60">
        <f t="shared" ca="1" si="31"/>
        <v>0.49005415225869653</v>
      </c>
      <c r="AJ47" s="60">
        <f t="shared" ca="1" si="32"/>
        <v>0.57220041051119619</v>
      </c>
      <c r="AK47" s="25"/>
      <c r="AL47" s="162" t="s">
        <v>49</v>
      </c>
      <c r="AM47" s="26">
        <f t="shared" ref="AM47:AN50" ca="1" si="43">AM14-learning_rate*(
IF(optimization="Gradient Descent",AM23,
IF(optimization="Momentum",AM29,
IF(optimization="RMS Prop",AM35,
AM41))))</f>
        <v>1.2336761917993204</v>
      </c>
      <c r="AN47" s="27">
        <f t="shared" ca="1" si="43"/>
        <v>-0.64412227772525676</v>
      </c>
      <c r="AP47" s="62">
        <f ca="1">IF(neural_net!AP$12,0,MMULT($AD47:$AG47,AM$14:AM$17))</f>
        <v>0.31086584973322684</v>
      </c>
      <c r="AQ47" s="62">
        <f ca="1">IF(neural_net!AQ$12,0,MMULT($AD47:$AG47,AN$14:AN$17))</f>
        <v>0.79791803846933818</v>
      </c>
      <c r="AR47" s="24"/>
      <c r="AS47" s="62">
        <v>1</v>
      </c>
      <c r="AT47" s="62">
        <f t="shared" ca="1" si="33"/>
        <v>0.31086584973322684</v>
      </c>
      <c r="AU47" s="62">
        <f t="shared" ca="1" si="34"/>
        <v>0.79791803846933818</v>
      </c>
      <c r="AV47" s="118">
        <f t="shared" ca="1" si="35"/>
        <v>1</v>
      </c>
      <c r="AW47" s="118">
        <f t="shared" ca="1" si="36"/>
        <v>1</v>
      </c>
      <c r="AX47" s="24"/>
      <c r="AY47" s="146" t="s">
        <v>49</v>
      </c>
      <c r="AZ47" s="103">
        <f ca="1">AZ14-learning_rate*(
IF(optimization="Gradient Descent",AZ23,
IF(optimization="Momentum",AZ29,
IF(optimization="RMS Prop",AZ35,
AZ41))))</f>
        <v>0.23783676611944837</v>
      </c>
      <c r="BB47" s="65">
        <f t="shared" ca="1" si="37"/>
        <v>0.26761577589221242</v>
      </c>
      <c r="BC47" s="36"/>
      <c r="BD47" s="65">
        <f t="shared" ca="1" si="38"/>
        <v>0.56650748805432694</v>
      </c>
      <c r="BE47" s="65">
        <f t="shared" ca="1" si="39"/>
        <v>0.24557675403270357</v>
      </c>
      <c r="BF47" s="183">
        <f t="shared" ca="1" si="40"/>
        <v>3.3126900137256623E-5</v>
      </c>
      <c r="BG47" s="183">
        <f t="shared" ca="1" si="41"/>
        <v>0.56650748805432694</v>
      </c>
    </row>
    <row r="48" spans="2:59">
      <c r="B48" s="1">
        <v>35</v>
      </c>
      <c r="C48" s="6">
        <v>-12.555904530424165</v>
      </c>
      <c r="D48" s="6">
        <v>8.9066267754689825</v>
      </c>
      <c r="E48" s="6">
        <v>-8.9490263610626926</v>
      </c>
      <c r="F48" s="6">
        <v>-7.0282415963014699</v>
      </c>
      <c r="G48" s="106">
        <f t="shared" si="15"/>
        <v>7.6465406790131047E-3</v>
      </c>
      <c r="I48" s="72">
        <v>0.81750321241559398</v>
      </c>
      <c r="J48" s="10">
        <f t="shared" si="24"/>
        <v>15</v>
      </c>
      <c r="K48" s="10">
        <f t="shared" si="25"/>
        <v>4</v>
      </c>
      <c r="L48" s="10">
        <f t="shared" si="26"/>
        <v>0</v>
      </c>
      <c r="M48" s="10"/>
      <c r="N48" s="182">
        <f t="shared" ca="1" si="16"/>
        <v>1</v>
      </c>
      <c r="O48" s="11">
        <v>1</v>
      </c>
      <c r="P48" s="11">
        <f t="shared" ca="1" si="21"/>
        <v>0.92660781827432981</v>
      </c>
      <c r="Q48" s="11">
        <f t="shared" ca="1" si="21"/>
        <v>0.52185865873318971</v>
      </c>
      <c r="R48" s="11">
        <f t="shared" ca="1" si="21"/>
        <v>0.61492473611773768</v>
      </c>
      <c r="S48" s="11">
        <f t="shared" ca="1" si="21"/>
        <v>0.5205803457891075</v>
      </c>
      <c r="T48" s="10"/>
      <c r="U48" s="156"/>
      <c r="V48" s="15">
        <f t="shared" ca="1" si="42"/>
        <v>-0.11730820570555028</v>
      </c>
      <c r="W48" s="16">
        <f t="shared" ca="1" si="42"/>
        <v>-0.84550400709192919</v>
      </c>
      <c r="X48" s="17">
        <f t="shared" ca="1" si="42"/>
        <v>0.87449403254896041</v>
      </c>
      <c r="Z48" s="60">
        <f ca="1">IF(neural_net!Z$12,0,MMULT($O48:$S48,V$14:V$18))</f>
        <v>0.43876907590409486</v>
      </c>
      <c r="AA48" s="60">
        <f ca="1">IF(neural_net!AA$12,0,MMULT($O48:$S48,W$14:W$18))</f>
        <v>-1.9350894445110565</v>
      </c>
      <c r="AB48" s="60">
        <f ca="1">IF(neural_net!AB$12,0,MMULT($O48:$S48,X$14:X$18))</f>
        <v>-0.53946107290923284</v>
      </c>
      <c r="AC48" s="58"/>
      <c r="AD48" s="60">
        <v>1</v>
      </c>
      <c r="AE48" s="60">
        <f t="shared" ca="1" si="27"/>
        <v>0.41262361207153586</v>
      </c>
      <c r="AF48" s="60">
        <f t="shared" ca="1" si="28"/>
        <v>-0.95914278558249011</v>
      </c>
      <c r="AG48" s="60">
        <f t="shared" ca="1" si="29"/>
        <v>-0.492579910506103</v>
      </c>
      <c r="AH48" s="60">
        <f t="shared" ca="1" si="30"/>
        <v>0.84735500476696501</v>
      </c>
      <c r="AI48" s="60">
        <f t="shared" ca="1" si="31"/>
        <v>0.44662132816413103</v>
      </c>
      <c r="AJ48" s="60">
        <f t="shared" ca="1" si="32"/>
        <v>0.79182528483988257</v>
      </c>
      <c r="AK48" s="25"/>
      <c r="AL48" s="163"/>
      <c r="AM48" s="28">
        <f t="shared" ca="1" si="43"/>
        <v>-0.75615768111833248</v>
      </c>
      <c r="AN48" s="29">
        <f t="shared" ca="1" si="43"/>
        <v>0.7837559453370101</v>
      </c>
      <c r="AP48" s="62">
        <f ca="1">IF(neural_net!AP$12,0,MMULT($AD48:$AG48,AM$14:AM$17))</f>
        <v>0.75709908423007022</v>
      </c>
      <c r="AQ48" s="62">
        <f ca="1">IF(neural_net!AQ$12,0,MMULT($AD48:$AG48,AN$14:AN$17))</f>
        <v>0.43820546399776128</v>
      </c>
      <c r="AR48" s="24"/>
      <c r="AS48" s="62">
        <v>1</v>
      </c>
      <c r="AT48" s="62">
        <f t="shared" ca="1" si="33"/>
        <v>0.75709908423007022</v>
      </c>
      <c r="AU48" s="62">
        <f t="shared" ca="1" si="34"/>
        <v>0.43820546399776128</v>
      </c>
      <c r="AV48" s="118">
        <f t="shared" ca="1" si="35"/>
        <v>1</v>
      </c>
      <c r="AW48" s="118">
        <f t="shared" ca="1" si="36"/>
        <v>1</v>
      </c>
      <c r="AX48" s="24"/>
      <c r="AY48" s="147"/>
      <c r="AZ48" s="104">
        <f ca="1">AZ15-learning_rate*(
IF(optimization="Gradient Descent",AZ24,
IF(optimization="Momentum",AZ30,
IF(optimization="RMS Prop",AZ36,
AZ42))))</f>
        <v>-0.42249603825047011</v>
      </c>
      <c r="BB48" s="65">
        <f t="shared" ca="1" si="37"/>
        <v>-3.9224040116886266E-3</v>
      </c>
      <c r="BC48" s="36"/>
      <c r="BD48" s="65">
        <f t="shared" ca="1" si="38"/>
        <v>0.4990194002543088</v>
      </c>
      <c r="BE48" s="65">
        <f t="shared" ca="1" si="39"/>
        <v>0.24999903842413876</v>
      </c>
      <c r="BF48" s="183">
        <f t="shared" ca="1" si="40"/>
        <v>1</v>
      </c>
      <c r="BG48" s="183">
        <f t="shared" ca="1" si="41"/>
        <v>0.4990194002543088</v>
      </c>
    </row>
    <row r="49" spans="2:59" ht="16" thickBot="1">
      <c r="B49" s="1">
        <v>36</v>
      </c>
      <c r="C49" s="6">
        <v>-12.966284006474552</v>
      </c>
      <c r="D49" s="6">
        <v>-8.8480540345635337</v>
      </c>
      <c r="E49" s="6">
        <v>-3.9265075844390083</v>
      </c>
      <c r="F49" s="6">
        <v>-5.5865062312999134</v>
      </c>
      <c r="G49" s="106">
        <f t="shared" si="15"/>
        <v>0.98278973776246292</v>
      </c>
      <c r="I49" s="72">
        <v>0.76937761514072445</v>
      </c>
      <c r="J49" s="10">
        <f t="shared" si="24"/>
        <v>21</v>
      </c>
      <c r="K49" s="10">
        <f t="shared" si="25"/>
        <v>4</v>
      </c>
      <c r="L49" s="10">
        <f t="shared" si="26"/>
        <v>0</v>
      </c>
      <c r="M49" s="10"/>
      <c r="N49" s="182">
        <f t="shared" ca="1" si="16"/>
        <v>8.3290783793834814E-3</v>
      </c>
      <c r="O49" s="11">
        <v>1</v>
      </c>
      <c r="P49" s="11">
        <f t="shared" ca="1" si="21"/>
        <v>0.3089462092117331</v>
      </c>
      <c r="Q49" s="11">
        <f t="shared" ca="1" si="21"/>
        <v>0.67435936251251594</v>
      </c>
      <c r="R49" s="11">
        <f t="shared" ca="1" si="21"/>
        <v>5.887080464665409E-2</v>
      </c>
      <c r="S49" s="11">
        <f t="shared" ca="1" si="21"/>
        <v>0.35496721828779648</v>
      </c>
      <c r="T49" s="10"/>
      <c r="U49" s="156"/>
      <c r="V49" s="15">
        <f t="shared" ca="1" si="42"/>
        <v>0.60179894649080368</v>
      </c>
      <c r="W49" s="16">
        <f t="shared" ca="1" si="42"/>
        <v>-0.82763063732780806</v>
      </c>
      <c r="X49" s="17">
        <f t="shared" ca="1" si="42"/>
        <v>0.264077932616123</v>
      </c>
      <c r="Z49" s="60">
        <f ca="1">IF(neural_net!Z$12,0,MMULT($O49:$S49,V$14:V$18))</f>
        <v>0.6330922016152527</v>
      </c>
      <c r="AA49" s="60">
        <f ca="1">IF(neural_net!AA$12,0,MMULT($O49:$S49,W$14:W$18))</f>
        <v>-1.2473115960707903</v>
      </c>
      <c r="AB49" s="60">
        <f ca="1">IF(neural_net!AB$12,0,MMULT($O49:$S49,X$14:X$18))</f>
        <v>-0.48438695935580378</v>
      </c>
      <c r="AC49" s="58"/>
      <c r="AD49" s="60">
        <v>1</v>
      </c>
      <c r="AE49" s="60">
        <f t="shared" ca="1" si="27"/>
        <v>0.56017776207334091</v>
      </c>
      <c r="AF49" s="60">
        <f t="shared" ca="1" si="28"/>
        <v>-0.847528050205414</v>
      </c>
      <c r="AG49" s="60">
        <f t="shared" ca="1" si="29"/>
        <v>-0.4497500926803279</v>
      </c>
      <c r="AH49" s="60">
        <f t="shared" ca="1" si="30"/>
        <v>0.74182492589516147</v>
      </c>
      <c r="AI49" s="60">
        <f t="shared" ca="1" si="31"/>
        <v>0.52420926405188928</v>
      </c>
      <c r="AJ49" s="60">
        <f t="shared" ca="1" si="32"/>
        <v>0.82217454190238459</v>
      </c>
      <c r="AK49" s="25"/>
      <c r="AL49" s="163"/>
      <c r="AM49" s="28">
        <f t="shared" ca="1" si="43"/>
        <v>-0.3849268371418188</v>
      </c>
      <c r="AN49" s="29">
        <f t="shared" ca="1" si="43"/>
        <v>-0.31523466937066541</v>
      </c>
      <c r="AP49" s="62">
        <f ca="1">IF(neural_net!AP$12,0,MMULT($AD49:$AG49,AM$14:AM$17))</f>
        <v>0.65139417384220333</v>
      </c>
      <c r="AQ49" s="62">
        <f ca="1">IF(neural_net!AQ$12,0,MMULT($AD49:$AG49,AN$14:AN$17))</f>
        <v>0.47654610833835304</v>
      </c>
      <c r="AR49" s="24"/>
      <c r="AS49" s="62">
        <v>1</v>
      </c>
      <c r="AT49" s="62">
        <f t="shared" ca="1" si="33"/>
        <v>0.65139417384220333</v>
      </c>
      <c r="AU49" s="62">
        <f t="shared" ca="1" si="34"/>
        <v>0.47654610833835304</v>
      </c>
      <c r="AV49" s="118">
        <f t="shared" ca="1" si="35"/>
        <v>1</v>
      </c>
      <c r="AW49" s="118">
        <f t="shared" ca="1" si="36"/>
        <v>1</v>
      </c>
      <c r="AX49" s="24"/>
      <c r="AY49" s="148"/>
      <c r="AZ49" s="105">
        <f ca="1">AZ16-learning_rate*(
IF(optimization="Gradient Descent",AZ25,
IF(optimization="Momentum",AZ31,
IF(optimization="RMS Prop",AZ37,
AZ43))))</f>
        <v>0.22835231548575588</v>
      </c>
      <c r="BB49" s="65">
        <f t="shared" ca="1" si="37"/>
        <v>5.0166319245016328E-2</v>
      </c>
      <c r="BC49" s="36"/>
      <c r="BD49" s="65">
        <f t="shared" ca="1" si="38"/>
        <v>0.51253895023243901</v>
      </c>
      <c r="BE49" s="65">
        <f t="shared" ca="1" si="39"/>
        <v>0.24984277472706842</v>
      </c>
      <c r="BF49" s="183">
        <f t="shared" ca="1" si="40"/>
        <v>8.3290783793834814E-3</v>
      </c>
      <c r="BG49" s="183">
        <f t="shared" ca="1" si="41"/>
        <v>0.51253895023243901</v>
      </c>
    </row>
    <row r="50" spans="2:59" ht="16" thickBot="1">
      <c r="B50" s="1">
        <v>37</v>
      </c>
      <c r="C50" s="6">
        <v>2.2850269352951798</v>
      </c>
      <c r="D50" s="6">
        <v>-2.5077750083170014</v>
      </c>
      <c r="E50" s="6">
        <v>-11.47933327757536</v>
      </c>
      <c r="F50" s="6">
        <v>3.5142379628855114</v>
      </c>
      <c r="G50" s="106">
        <f t="shared" si="15"/>
        <v>0.24968923959650521</v>
      </c>
      <c r="I50" s="72">
        <v>0.68804745130682199</v>
      </c>
      <c r="J50" s="10">
        <f t="shared" si="24"/>
        <v>29</v>
      </c>
      <c r="K50" s="10">
        <f t="shared" si="25"/>
        <v>4</v>
      </c>
      <c r="L50" s="10">
        <f t="shared" si="26"/>
        <v>0</v>
      </c>
      <c r="M50" s="10"/>
      <c r="N50" s="182">
        <f t="shared" ca="1" si="16"/>
        <v>0.7621910962166738</v>
      </c>
      <c r="O50" s="11">
        <v>1</v>
      </c>
      <c r="P50" s="11">
        <f t="shared" ca="1" si="21"/>
        <v>0.36354307420387272</v>
      </c>
      <c r="Q50" s="11">
        <f t="shared" ca="1" si="21"/>
        <v>0.29990650469584584</v>
      </c>
      <c r="R50" s="11">
        <f t="shared" ca="1" si="21"/>
        <v>0.58706830262601117</v>
      </c>
      <c r="S50" s="11">
        <f t="shared" ca="1" si="21"/>
        <v>0.61694088868516572</v>
      </c>
      <c r="T50" s="10"/>
      <c r="U50" s="156"/>
      <c r="V50" s="18">
        <f t="shared" ca="1" si="42"/>
        <v>9.4929359786187287E-2</v>
      </c>
      <c r="W50" s="19">
        <f t="shared" ca="1" si="42"/>
        <v>-0.27154925068868019</v>
      </c>
      <c r="X50" s="20">
        <f t="shared" ca="1" si="42"/>
        <v>-0.77891824163717738</v>
      </c>
      <c r="Z50" s="60">
        <f ca="1">IF(neural_net!Z$12,0,MMULT($O50:$S50,V$14:V$18))</f>
        <v>0.3344553017517754</v>
      </c>
      <c r="AA50" s="60">
        <f ca="1">IF(neural_net!AA$12,0,MMULT($O50:$S50,W$14:W$18))</f>
        <v>-1.3355869506781248</v>
      </c>
      <c r="AB50" s="60">
        <f ca="1">IF(neural_net!AB$12,0,MMULT($O50:$S50,X$14:X$18))</f>
        <v>-1.1537247697613231</v>
      </c>
      <c r="AC50" s="58"/>
      <c r="AD50" s="60">
        <v>1</v>
      </c>
      <c r="AE50" s="60">
        <f t="shared" ca="1" si="27"/>
        <v>0.32251836440168491</v>
      </c>
      <c r="AF50" s="60">
        <f t="shared" ca="1" si="28"/>
        <v>-0.87060820174352505</v>
      </c>
      <c r="AG50" s="60">
        <f t="shared" ca="1" si="29"/>
        <v>-0.81898426048713724</v>
      </c>
      <c r="AH50" s="60">
        <f t="shared" ca="1" si="30"/>
        <v>0.90279182126292001</v>
      </c>
      <c r="AI50" s="60">
        <f t="shared" ca="1" si="31"/>
        <v>0.50764095231032602</v>
      </c>
      <c r="AJ50" s="60">
        <f t="shared" ca="1" si="32"/>
        <v>0.54502729115598703</v>
      </c>
      <c r="AK50" s="25"/>
      <c r="AL50" s="164"/>
      <c r="AM50" s="30">
        <f t="shared" ca="1" si="43"/>
        <v>1.1417677483963629</v>
      </c>
      <c r="AN50" s="31">
        <f t="shared" ca="1" si="43"/>
        <v>-0.98505831123555831</v>
      </c>
      <c r="AP50" s="62">
        <f ca="1">IF(neural_net!AP$12,0,MMULT($AD50:$AG50,AM$14:AM$17))</f>
        <v>0.41995320744289621</v>
      </c>
      <c r="AQ50" s="62">
        <f ca="1">IF(neural_net!AQ$12,0,MMULT($AD50:$AG50,AN$14:AN$17))</f>
        <v>0.65972544286348578</v>
      </c>
      <c r="AR50" s="24"/>
      <c r="AS50" s="62">
        <v>1</v>
      </c>
      <c r="AT50" s="62">
        <f t="shared" ca="1" si="33"/>
        <v>0.41995320744289621</v>
      </c>
      <c r="AU50" s="62">
        <f t="shared" ca="1" si="34"/>
        <v>0.65972544286348578</v>
      </c>
      <c r="AV50" s="118">
        <f t="shared" ca="1" si="35"/>
        <v>1</v>
      </c>
      <c r="AW50" s="118">
        <f t="shared" ca="1" si="36"/>
        <v>1</v>
      </c>
      <c r="AX50" s="24"/>
      <c r="AY50" s="24"/>
      <c r="AZ50" s="24"/>
      <c r="BB50" s="65">
        <f t="shared" ca="1" si="37"/>
        <v>0.19026125228338922</v>
      </c>
      <c r="BC50" s="36"/>
      <c r="BD50" s="65">
        <f t="shared" ca="1" si="38"/>
        <v>0.54742234449076554</v>
      </c>
      <c r="BE50" s="65">
        <f t="shared" ca="1" si="39"/>
        <v>0.24775112124299917</v>
      </c>
      <c r="BF50" s="183">
        <f t="shared" ca="1" si="40"/>
        <v>0.7621910962166738</v>
      </c>
      <c r="BG50" s="183">
        <f t="shared" ca="1" si="41"/>
        <v>0.54742234449076554</v>
      </c>
    </row>
    <row r="51" spans="2:59" ht="16" thickBot="1">
      <c r="B51" s="1">
        <v>38</v>
      </c>
      <c r="C51" s="6">
        <v>13.184945720754831</v>
      </c>
      <c r="D51" s="6">
        <v>0.88079386244080715</v>
      </c>
      <c r="E51" s="6">
        <v>-4.2919971093468456</v>
      </c>
      <c r="F51" s="6">
        <v>-6.6691297043486308</v>
      </c>
      <c r="G51" s="106">
        <f t="shared" si="15"/>
        <v>1</v>
      </c>
      <c r="I51" s="72">
        <v>0.5642623988774319</v>
      </c>
      <c r="J51" s="10">
        <f t="shared" si="24"/>
        <v>43</v>
      </c>
      <c r="K51" s="10">
        <f t="shared" si="25"/>
        <v>4</v>
      </c>
      <c r="L51" s="10">
        <f t="shared" si="26"/>
        <v>0</v>
      </c>
      <c r="M51" s="10"/>
      <c r="N51" s="182">
        <f t="shared" ca="1" si="16"/>
        <v>0.43068302683135512</v>
      </c>
      <c r="O51" s="11">
        <v>1</v>
      </c>
      <c r="P51" s="11">
        <f t="shared" ca="1" si="21"/>
        <v>0.83175277272070758</v>
      </c>
      <c r="Q51" s="11">
        <f t="shared" ca="1" si="21"/>
        <v>0.32499597413404618</v>
      </c>
      <c r="R51" s="11">
        <f t="shared" ca="1" si="21"/>
        <v>0.68879174682550448</v>
      </c>
      <c r="S51" s="11">
        <f t="shared" ca="1" si="21"/>
        <v>0.43707308157071079</v>
      </c>
      <c r="T51" s="10"/>
      <c r="U51" s="157"/>
      <c r="V51" s="21">
        <f t="shared" ca="1" si="42"/>
        <v>-0.42876523678690187</v>
      </c>
      <c r="W51" s="22">
        <f t="shared" ca="1" si="42"/>
        <v>-0.77827423311773059</v>
      </c>
      <c r="X51" s="23">
        <f t="shared" ca="1" si="42"/>
        <v>-0.80724979557191456</v>
      </c>
      <c r="Z51" s="60">
        <f ca="1">IF(neural_net!Z$12,0,MMULT($O51:$S51,V$14:V$18))</f>
        <v>0.37725533469255401</v>
      </c>
      <c r="AA51" s="60">
        <f ca="1">IF(neural_net!AA$12,0,MMULT($O51:$S51,W$14:W$18))</f>
        <v>-1.6440129338884653</v>
      </c>
      <c r="AB51" s="60">
        <f ca="1">IF(neural_net!AB$12,0,MMULT($O51:$S51,X$14:X$18))</f>
        <v>-0.66753705492366811</v>
      </c>
      <c r="AC51" s="58"/>
      <c r="AD51" s="60">
        <v>1</v>
      </c>
      <c r="AE51" s="60">
        <f t="shared" ca="1" si="27"/>
        <v>0.36032151214772218</v>
      </c>
      <c r="AF51" s="60">
        <f t="shared" ca="1" si="28"/>
        <v>-0.92803147071179193</v>
      </c>
      <c r="AG51" s="60">
        <f t="shared" ca="1" si="29"/>
        <v>-0.583357426903099</v>
      </c>
      <c r="AH51" s="60">
        <f t="shared" ca="1" si="30"/>
        <v>0.88063168523117197</v>
      </c>
      <c r="AI51" s="60">
        <f t="shared" ca="1" si="31"/>
        <v>0.4675747110957309</v>
      </c>
      <c r="AJ51" s="60">
        <f t="shared" ca="1" si="32"/>
        <v>0.72426852628471217</v>
      </c>
      <c r="AK51" s="25"/>
      <c r="AL51" s="25"/>
      <c r="AM51" s="25"/>
      <c r="AN51" s="25"/>
      <c r="AP51" s="62">
        <f ca="1">IF(neural_net!AP$12,0,MMULT($AD51:$AG51,AM$14:AM$17))</f>
        <v>0.68109893931357668</v>
      </c>
      <c r="AQ51" s="62">
        <f ca="1">IF(neural_net!AQ$12,0,MMULT($AD51:$AG51,AN$14:AN$17))</f>
        <v>0.47675352312996611</v>
      </c>
      <c r="AR51" s="24"/>
      <c r="AS51" s="62">
        <v>1</v>
      </c>
      <c r="AT51" s="62">
        <f t="shared" ca="1" si="33"/>
        <v>0.68109893931357668</v>
      </c>
      <c r="AU51" s="62">
        <f t="shared" ca="1" si="34"/>
        <v>0.47675352312996611</v>
      </c>
      <c r="AV51" s="118">
        <f t="shared" ca="1" si="35"/>
        <v>1</v>
      </c>
      <c r="AW51" s="118">
        <f t="shared" ca="1" si="36"/>
        <v>1</v>
      </c>
      <c r="AX51" s="24"/>
      <c r="AY51" s="24"/>
      <c r="AZ51" s="24"/>
      <c r="BB51" s="65">
        <f t="shared" ca="1" si="37"/>
        <v>3.7364415470390169E-2</v>
      </c>
      <c r="BC51" s="36"/>
      <c r="BD51" s="65">
        <f t="shared" ca="1" si="38"/>
        <v>0.5093400172600614</v>
      </c>
      <c r="BE51" s="65">
        <f t="shared" ca="1" si="39"/>
        <v>0.24991276407758176</v>
      </c>
      <c r="BF51" s="183">
        <f t="shared" ca="1" si="40"/>
        <v>0.43068302683135512</v>
      </c>
      <c r="BG51" s="183">
        <f t="shared" ca="1" si="41"/>
        <v>0.5093400172600614</v>
      </c>
    </row>
    <row r="52" spans="2:59" ht="16" thickBot="1">
      <c r="B52" s="1">
        <v>39</v>
      </c>
      <c r="C52" s="6">
        <v>-2.1051232603615269</v>
      </c>
      <c r="D52" s="6">
        <v>-4.2106681227837068</v>
      </c>
      <c r="E52" s="6">
        <v>6.3798624764798612E-2</v>
      </c>
      <c r="F52" s="6">
        <v>3.7335687090860232</v>
      </c>
      <c r="G52" s="106">
        <f t="shared" si="15"/>
        <v>0.8162741985195282</v>
      </c>
      <c r="I52" s="72">
        <v>0.65699463303264583</v>
      </c>
      <c r="J52" s="10">
        <f t="shared" si="24"/>
        <v>31</v>
      </c>
      <c r="K52" s="10">
        <f t="shared" si="25"/>
        <v>4</v>
      </c>
      <c r="L52" s="10">
        <f t="shared" si="26"/>
        <v>0</v>
      </c>
      <c r="M52" s="10"/>
      <c r="N52" s="182">
        <f t="shared" ca="1" si="16"/>
        <v>1.9091522228751E-2</v>
      </c>
      <c r="O52" s="11">
        <v>1</v>
      </c>
      <c r="P52" s="11">
        <f t="shared" ca="1" si="21"/>
        <v>0.25550875089809066</v>
      </c>
      <c r="Q52" s="11">
        <f t="shared" ca="1" si="21"/>
        <v>0.70409970036599712</v>
      </c>
      <c r="R52" s="11">
        <f t="shared" ca="1" si="21"/>
        <v>0.54670775558467544</v>
      </c>
      <c r="S52" s="11">
        <f t="shared" ca="1" si="21"/>
        <v>0.56850812156805752</v>
      </c>
      <c r="T52" s="10"/>
      <c r="U52" s="10"/>
      <c r="V52" s="10"/>
      <c r="W52" s="10"/>
      <c r="X52" s="10"/>
      <c r="Z52" s="60">
        <f ca="1">IF(neural_net!Z$12,0,MMULT($O52:$S52,V$14:V$18))</f>
        <v>0.60523288409504072</v>
      </c>
      <c r="AA52" s="60">
        <f ca="1">IF(neural_net!AA$12,0,MMULT($O52:$S52,W$14:W$18))</f>
        <v>-1.5321859741036652</v>
      </c>
      <c r="AB52" s="60">
        <f ca="1">IF(neural_net!AB$12,0,MMULT($O52:$S52,X$14:X$18))</f>
        <v>-1.0688530740438145</v>
      </c>
      <c r="AC52" s="58"/>
      <c r="AD52" s="60">
        <v>1</v>
      </c>
      <c r="AE52" s="60">
        <f t="shared" ca="1" si="27"/>
        <v>0.54076270197140985</v>
      </c>
      <c r="AF52" s="60">
        <f t="shared" ca="1" si="28"/>
        <v>-0.91079792962524875</v>
      </c>
      <c r="AG52" s="60">
        <f t="shared" ca="1" si="29"/>
        <v>-0.78902872406008806</v>
      </c>
      <c r="AH52" s="60">
        <f t="shared" ca="1" si="30"/>
        <v>0.7563935052561257</v>
      </c>
      <c r="AI52" s="60">
        <f t="shared" ca="1" si="31"/>
        <v>0.47941608362934707</v>
      </c>
      <c r="AJ52" s="60">
        <f t="shared" ca="1" si="32"/>
        <v>0.56722224844324043</v>
      </c>
      <c r="AK52" s="25"/>
      <c r="AL52" s="25"/>
      <c r="AM52" s="25"/>
      <c r="AN52" s="25"/>
      <c r="AP52" s="62">
        <f ca="1">IF(neural_net!AP$12,0,MMULT($AD52:$AG52,AM$14:AM$17))</f>
        <v>0.30688323063967526</v>
      </c>
      <c r="AQ52" s="62">
        <f ca="1">IF(neural_net!AQ$12,0,MMULT($AD52:$AG52,AN$14:AN$17))</f>
        <v>0.81165220055510767</v>
      </c>
      <c r="AR52" s="24"/>
      <c r="AS52" s="62">
        <v>1</v>
      </c>
      <c r="AT52" s="62">
        <f t="shared" ca="1" si="33"/>
        <v>0.30688323063967526</v>
      </c>
      <c r="AU52" s="62">
        <f t="shared" ca="1" si="34"/>
        <v>0.81165220055510767</v>
      </c>
      <c r="AV52" s="118">
        <f t="shared" ca="1" si="35"/>
        <v>1</v>
      </c>
      <c r="AW52" s="118">
        <f t="shared" ca="1" si="36"/>
        <v>1</v>
      </c>
      <c r="AX52" s="24"/>
      <c r="AY52" s="24"/>
      <c r="AZ52" s="24"/>
      <c r="BB52" s="65">
        <f t="shared" ca="1" si="37"/>
        <v>0.2723371290236597</v>
      </c>
      <c r="BC52" s="36"/>
      <c r="BD52" s="65">
        <f t="shared" ca="1" si="38"/>
        <v>0.56766657651790675</v>
      </c>
      <c r="BE52" s="65">
        <f t="shared" ca="1" si="39"/>
        <v>0.24542123442234626</v>
      </c>
      <c r="BF52" s="183">
        <f t="shared" ca="1" si="40"/>
        <v>1.9091522228751E-2</v>
      </c>
      <c r="BG52" s="183">
        <f t="shared" ca="1" si="41"/>
        <v>0.56766657651790675</v>
      </c>
    </row>
    <row r="53" spans="2:59">
      <c r="B53" s="1">
        <v>40</v>
      </c>
      <c r="C53" s="6">
        <v>8.2134801060817129</v>
      </c>
      <c r="D53" s="6">
        <v>-0.31879313410104981</v>
      </c>
      <c r="E53" s="6">
        <v>3.7461553403521197</v>
      </c>
      <c r="F53" s="6">
        <v>8.1656105586995125</v>
      </c>
      <c r="G53" s="106">
        <f t="shared" si="15"/>
        <v>2.1503365240290237E-34</v>
      </c>
      <c r="I53" s="72">
        <v>0.13369881723081811</v>
      </c>
      <c r="J53" s="10">
        <f t="shared" si="24"/>
        <v>82</v>
      </c>
      <c r="K53" s="10">
        <f t="shared" si="25"/>
        <v>4</v>
      </c>
      <c r="L53" s="10">
        <f t="shared" si="26"/>
        <v>0</v>
      </c>
      <c r="M53" s="10"/>
      <c r="N53" s="182">
        <f t="shared" ca="1" si="16"/>
        <v>0.99999999993902366</v>
      </c>
      <c r="O53" s="11">
        <v>1</v>
      </c>
      <c r="P53" s="11">
        <f t="shared" ca="1" si="21"/>
        <v>0.73311633604936455</v>
      </c>
      <c r="Q53" s="11">
        <f t="shared" ca="1" si="21"/>
        <v>0.53172533414494783</v>
      </c>
      <c r="R53" s="11">
        <f t="shared" ca="1" si="21"/>
        <v>0.40441137790329901</v>
      </c>
      <c r="S53" s="11">
        <f t="shared" ca="1" si="21"/>
        <v>0.40670007119770246</v>
      </c>
      <c r="T53" s="10"/>
      <c r="U53" s="149" t="s">
        <v>128</v>
      </c>
      <c r="V53" s="86">
        <v>0</v>
      </c>
      <c r="W53" s="87">
        <v>0</v>
      </c>
      <c r="X53" s="88">
        <v>0</v>
      </c>
      <c r="Z53" s="60">
        <f ca="1">IF(neural_net!Z$12,0,MMULT($O53:$S53,V$14:V$18))</f>
        <v>0.50132915834456782</v>
      </c>
      <c r="AA53" s="60">
        <f ca="1">IF(neural_net!AA$12,0,MMULT($O53:$S53,W$14:W$18))</f>
        <v>-1.6287825714692254</v>
      </c>
      <c r="AB53" s="60">
        <f ca="1">IF(neural_net!AB$12,0,MMULT($O53:$S53,X$14:X$18))</f>
        <v>-0.45524030940931876</v>
      </c>
      <c r="AC53" s="58"/>
      <c r="AD53" s="60">
        <v>1</v>
      </c>
      <c r="AE53" s="60">
        <f t="shared" ca="1" si="27"/>
        <v>0.4631618285464737</v>
      </c>
      <c r="AF53" s="60">
        <f t="shared" ca="1" si="28"/>
        <v>-0.92588801187463021</v>
      </c>
      <c r="AG53" s="60">
        <f t="shared" ca="1" si="29"/>
        <v>-0.42619700431870428</v>
      </c>
      <c r="AH53" s="60">
        <f t="shared" ca="1" si="30"/>
        <v>0.81280733130717642</v>
      </c>
      <c r="AI53" s="60">
        <f t="shared" ca="1" si="31"/>
        <v>0.46903859212464771</v>
      </c>
      <c r="AJ53" s="60">
        <f t="shared" ca="1" si="32"/>
        <v>0.83828486945000358</v>
      </c>
      <c r="AK53" s="25"/>
      <c r="AL53" s="152" t="s">
        <v>128</v>
      </c>
      <c r="AM53" s="97">
        <v>0</v>
      </c>
      <c r="AN53" s="98">
        <v>0</v>
      </c>
      <c r="AP53" s="62">
        <f ca="1">IF(neural_net!AP$12,0,MMULT($AD53:$AG53,AM$14:AM$17))</f>
        <v>0.78138643548023556</v>
      </c>
      <c r="AQ53" s="62">
        <f ca="1">IF(neural_net!AQ$12,0,MMULT($AD53:$AG53,AN$14:AN$17))</f>
        <v>0.4024319952238587</v>
      </c>
      <c r="AR53" s="24"/>
      <c r="AS53" s="62">
        <v>1</v>
      </c>
      <c r="AT53" s="62">
        <f t="shared" ca="1" si="33"/>
        <v>0.78138643548023556</v>
      </c>
      <c r="AU53" s="62">
        <f t="shared" ca="1" si="34"/>
        <v>0.4024319952238587</v>
      </c>
      <c r="AV53" s="118">
        <f t="shared" ca="1" si="35"/>
        <v>1</v>
      </c>
      <c r="AW53" s="118">
        <f t="shared" ca="1" si="36"/>
        <v>1</v>
      </c>
      <c r="AX53" s="24"/>
      <c r="AY53" s="146" t="s">
        <v>130</v>
      </c>
      <c r="AZ53" s="103">
        <v>0</v>
      </c>
      <c r="BB53" s="65">
        <f t="shared" ca="1" si="37"/>
        <v>-2.2237807049761929E-2</v>
      </c>
      <c r="BC53" s="36"/>
      <c r="BD53" s="65">
        <f t="shared" ca="1" si="38"/>
        <v>0.4944407773312664</v>
      </c>
      <c r="BE53" s="65">
        <f t="shared" ca="1" si="39"/>
        <v>0.24996909504331941</v>
      </c>
      <c r="BF53" s="183">
        <f t="shared" ca="1" si="40"/>
        <v>0.99999999993902366</v>
      </c>
      <c r="BG53" s="183">
        <f t="shared" ca="1" si="41"/>
        <v>0.4944407773312664</v>
      </c>
    </row>
    <row r="54" spans="2:59">
      <c r="B54" s="1">
        <v>41</v>
      </c>
      <c r="C54" s="6">
        <v>-6.5288921136879008</v>
      </c>
      <c r="D54" s="6">
        <v>0.17817212095105628</v>
      </c>
      <c r="E54" s="6">
        <v>19.169289862131677</v>
      </c>
      <c r="F54" s="6">
        <v>13.428727796898857</v>
      </c>
      <c r="G54" s="106">
        <f t="shared" si="15"/>
        <v>8.8615397702812788E-49</v>
      </c>
      <c r="I54" s="72">
        <v>0.62903885513624791</v>
      </c>
      <c r="J54" s="10">
        <f t="shared" si="24"/>
        <v>33</v>
      </c>
      <c r="K54" s="10">
        <f t="shared" si="25"/>
        <v>5</v>
      </c>
      <c r="L54" s="10">
        <f t="shared" si="26"/>
        <v>0</v>
      </c>
      <c r="M54" s="10"/>
      <c r="N54" s="182">
        <f t="shared" ca="1" si="16"/>
        <v>0.91734252749748801</v>
      </c>
      <c r="O54" s="11">
        <v>1</v>
      </c>
      <c r="P54" s="11">
        <f t="shared" ref="P54:S73" ca="1" si="44">(INDEX(INDIRECT(P$13),$J54,1)-MIN(INDIRECT(P$13)))/(MAX(INDIRECT(P$13))-MIN(INDIRECT(P$13)))</f>
        <v>0.29583493348557111</v>
      </c>
      <c r="Q54" s="11">
        <f t="shared" ca="1" si="44"/>
        <v>0.31542700214073027</v>
      </c>
      <c r="R54" s="11">
        <f t="shared" ca="1" si="44"/>
        <v>0.35980549579170484</v>
      </c>
      <c r="S54" s="11">
        <f t="shared" ca="1" si="44"/>
        <v>0.18621792030904932</v>
      </c>
      <c r="T54" s="10"/>
      <c r="U54" s="150"/>
      <c r="V54" s="89">
        <v>0</v>
      </c>
      <c r="W54" s="85">
        <v>0</v>
      </c>
      <c r="X54" s="90">
        <v>0</v>
      </c>
      <c r="Z54" s="60">
        <f ca="1">IF(neural_net!Z$12,0,MMULT($O54:$S54,V$14:V$18))</f>
        <v>0.52194509821412183</v>
      </c>
      <c r="AA54" s="60">
        <f ca="1">IF(neural_net!AA$12,0,MMULT($O54:$S54,W$14:W$18))</f>
        <v>-0.88714931874685565</v>
      </c>
      <c r="AB54" s="60">
        <f ca="1">IF(neural_net!AB$12,0,MMULT($O54:$S54,X$14:X$18))</f>
        <v>-0.69121807402048474</v>
      </c>
      <c r="AC54" s="58"/>
      <c r="AD54" s="60">
        <v>1</v>
      </c>
      <c r="AE54" s="60">
        <f t="shared" ca="1" si="27"/>
        <v>0.47919984871897536</v>
      </c>
      <c r="AF54" s="60">
        <f t="shared" ca="1" si="28"/>
        <v>-0.70998286895671803</v>
      </c>
      <c r="AG54" s="60">
        <f t="shared" ca="1" si="29"/>
        <v>-0.5987639426562712</v>
      </c>
      <c r="AH54" s="60">
        <f t="shared" ca="1" si="30"/>
        <v>0.80143835226074644</v>
      </c>
      <c r="AI54" s="60">
        <f t="shared" ca="1" si="31"/>
        <v>0.62708692618708206</v>
      </c>
      <c r="AJ54" s="60">
        <f t="shared" ca="1" si="32"/>
        <v>0.71252233989649738</v>
      </c>
      <c r="AK54" s="25"/>
      <c r="AL54" s="153"/>
      <c r="AM54" s="99">
        <v>0</v>
      </c>
      <c r="AN54" s="100">
        <v>0</v>
      </c>
      <c r="AP54" s="62">
        <f ca="1">IF(neural_net!AP$12,0,MMULT($AD54:$AG54,AM$14:AM$17))</f>
        <v>0.48884711304578865</v>
      </c>
      <c r="AQ54" s="62">
        <f ca="1">IF(neural_net!AQ$12,0,MMULT($AD54:$AG54,AN$14:AN$17))</f>
        <v>0.51720260135871676</v>
      </c>
      <c r="AR54" s="24"/>
      <c r="AS54" s="62">
        <v>1</v>
      </c>
      <c r="AT54" s="62">
        <f t="shared" ca="1" si="33"/>
        <v>0.48884711304578865</v>
      </c>
      <c r="AU54" s="62">
        <f t="shared" ca="1" si="34"/>
        <v>0.51720260135871676</v>
      </c>
      <c r="AV54" s="118">
        <f t="shared" ca="1" si="35"/>
        <v>1</v>
      </c>
      <c r="AW54" s="118">
        <f t="shared" ca="1" si="36"/>
        <v>1</v>
      </c>
      <c r="AX54" s="24"/>
      <c r="AY54" s="147"/>
      <c r="AZ54" s="104">
        <v>0</v>
      </c>
      <c r="BB54" s="65">
        <f t="shared" ca="1" si="37"/>
        <v>0.12934471808673065</v>
      </c>
      <c r="BC54" s="36"/>
      <c r="BD54" s="65">
        <f t="shared" ca="1" si="38"/>
        <v>0.5322911726421653</v>
      </c>
      <c r="BE54" s="65">
        <f t="shared" ca="1" si="39"/>
        <v>0.24895728016939386</v>
      </c>
      <c r="BF54" s="183">
        <f t="shared" ca="1" si="40"/>
        <v>0.91734252749748801</v>
      </c>
      <c r="BG54" s="183">
        <f t="shared" ca="1" si="41"/>
        <v>0.5322911726421653</v>
      </c>
    </row>
    <row r="55" spans="2:59" ht="16" thickBot="1">
      <c r="B55" s="1">
        <v>42</v>
      </c>
      <c r="C55" s="6">
        <v>5.4593046030481984</v>
      </c>
      <c r="D55" s="6">
        <v>28.079032780642081</v>
      </c>
      <c r="E55" s="6">
        <v>-2.7620610466079567</v>
      </c>
      <c r="F55" s="6">
        <v>6.8506659030665045</v>
      </c>
      <c r="G55" s="106">
        <f t="shared" si="15"/>
        <v>0.68672872316082645</v>
      </c>
      <c r="I55" s="72">
        <v>0.38200365184286078</v>
      </c>
      <c r="J55" s="10">
        <f t="shared" si="24"/>
        <v>61</v>
      </c>
      <c r="K55" s="10">
        <f t="shared" si="25"/>
        <v>5</v>
      </c>
      <c r="L55" s="10">
        <f t="shared" si="26"/>
        <v>0</v>
      </c>
      <c r="M55" s="10"/>
      <c r="N55" s="182">
        <f t="shared" ca="1" si="16"/>
        <v>1.6606921789556417E-2</v>
      </c>
      <c r="O55" s="11">
        <v>1</v>
      </c>
      <c r="P55" s="11">
        <f t="shared" ca="1" si="44"/>
        <v>0.30095272451386107</v>
      </c>
      <c r="Q55" s="11">
        <f t="shared" ca="1" si="44"/>
        <v>0.67228532390296181</v>
      </c>
      <c r="R55" s="11">
        <f t="shared" ca="1" si="44"/>
        <v>0.56304745875895001</v>
      </c>
      <c r="S55" s="11">
        <f t="shared" ca="1" si="44"/>
        <v>0.57552735442282432</v>
      </c>
      <c r="T55" s="10"/>
      <c r="U55" s="150"/>
      <c r="V55" s="89">
        <v>0</v>
      </c>
      <c r="W55" s="85">
        <v>0</v>
      </c>
      <c r="X55" s="90">
        <v>0</v>
      </c>
      <c r="Z55" s="60">
        <f ca="1">IF(neural_net!Z$12,0,MMULT($O55:$S55,V$14:V$18))</f>
        <v>0.57892770404402494</v>
      </c>
      <c r="AA55" s="60">
        <f ca="1">IF(neural_net!AA$12,0,MMULT($O55:$S55,W$14:W$18))</f>
        <v>-1.5545482907704449</v>
      </c>
      <c r="AB55" s="60">
        <f ca="1">IF(neural_net!AB$12,0,MMULT($O55:$S55,X$14:X$18))</f>
        <v>-1.0555377468860678</v>
      </c>
      <c r="AC55" s="58"/>
      <c r="AD55" s="60">
        <v>1</v>
      </c>
      <c r="AE55" s="60">
        <f t="shared" ca="1" si="27"/>
        <v>0.52188562588539389</v>
      </c>
      <c r="AF55" s="60">
        <f t="shared" ca="1" si="28"/>
        <v>-0.91453282904168298</v>
      </c>
      <c r="AG55" s="60">
        <f t="shared" ca="1" si="29"/>
        <v>-0.78395001354927607</v>
      </c>
      <c r="AH55" s="60">
        <f t="shared" ca="1" si="30"/>
        <v>0.77041141374867328</v>
      </c>
      <c r="AI55" s="60">
        <f t="shared" ca="1" si="31"/>
        <v>0.47683600337038179</v>
      </c>
      <c r="AJ55" s="60">
        <f t="shared" ca="1" si="32"/>
        <v>0.57101682877710003</v>
      </c>
      <c r="AK55" s="25"/>
      <c r="AL55" s="153"/>
      <c r="AM55" s="99">
        <v>0</v>
      </c>
      <c r="AN55" s="100">
        <v>0</v>
      </c>
      <c r="AP55" s="62">
        <f ca="1">IF(neural_net!AP$12,0,MMULT($AD55:$AG55,AM$14:AM$17))</f>
        <v>0.32819143874097623</v>
      </c>
      <c r="AQ55" s="62">
        <f ca="1">IF(neural_net!AQ$12,0,MMULT($AD55:$AG55,AN$14:AN$17))</f>
        <v>0.79323393255648655</v>
      </c>
      <c r="AR55" s="24"/>
      <c r="AS55" s="62">
        <v>1</v>
      </c>
      <c r="AT55" s="62">
        <f t="shared" ca="1" si="33"/>
        <v>0.32819143874097623</v>
      </c>
      <c r="AU55" s="62">
        <f t="shared" ca="1" si="34"/>
        <v>0.79323393255648655</v>
      </c>
      <c r="AV55" s="118">
        <f t="shared" ca="1" si="35"/>
        <v>1</v>
      </c>
      <c r="AW55" s="118">
        <f t="shared" ca="1" si="36"/>
        <v>1</v>
      </c>
      <c r="AX55" s="24"/>
      <c r="AY55" s="148"/>
      <c r="AZ55" s="105">
        <v>0</v>
      </c>
      <c r="BB55" s="65">
        <f t="shared" ca="1" si="37"/>
        <v>0.25909974195178592</v>
      </c>
      <c r="BC55" s="36"/>
      <c r="BD55" s="65">
        <f t="shared" ca="1" si="38"/>
        <v>0.56441497557096021</v>
      </c>
      <c r="BE55" s="65">
        <f t="shared" ca="1" si="39"/>
        <v>0.2458507109221926</v>
      </c>
      <c r="BF55" s="183">
        <f t="shared" ca="1" si="40"/>
        <v>1.6606921789556417E-2</v>
      </c>
      <c r="BG55" s="183">
        <f t="shared" ca="1" si="41"/>
        <v>0.56441497557096021</v>
      </c>
    </row>
    <row r="56" spans="2:59" ht="16" thickBot="1">
      <c r="B56" s="1">
        <v>43</v>
      </c>
      <c r="C56" s="6">
        <v>10.122314530760224</v>
      </c>
      <c r="D56" s="6">
        <v>-11.23502277528236</v>
      </c>
      <c r="E56" s="6">
        <v>11.40804159364537</v>
      </c>
      <c r="F56" s="6">
        <v>-2.3533212860320045</v>
      </c>
      <c r="G56" s="106">
        <f t="shared" si="15"/>
        <v>0.43068302683135512</v>
      </c>
      <c r="I56" s="72">
        <v>0.62288692312029259</v>
      </c>
      <c r="J56" s="10">
        <f t="shared" si="24"/>
        <v>34</v>
      </c>
      <c r="K56" s="10">
        <f t="shared" si="25"/>
        <v>5</v>
      </c>
      <c r="L56" s="10">
        <f t="shared" si="26"/>
        <v>0</v>
      </c>
      <c r="M56" s="10"/>
      <c r="N56" s="182">
        <f t="shared" ca="1" si="16"/>
        <v>0.9555792146730161</v>
      </c>
      <c r="O56" s="11">
        <v>1</v>
      </c>
      <c r="P56" s="11">
        <f t="shared" ca="1" si="44"/>
        <v>0.51660481519791235</v>
      </c>
      <c r="Q56" s="11">
        <f t="shared" ca="1" si="44"/>
        <v>0.48984085739372679</v>
      </c>
      <c r="R56" s="11">
        <f t="shared" ca="1" si="44"/>
        <v>0.34292320247628222</v>
      </c>
      <c r="S56" s="11">
        <f t="shared" ca="1" si="44"/>
        <v>0.19082857304698622</v>
      </c>
      <c r="T56" s="10"/>
      <c r="U56" s="150"/>
      <c r="V56" s="89">
        <v>0</v>
      </c>
      <c r="W56" s="85">
        <v>0</v>
      </c>
      <c r="X56" s="90">
        <v>0</v>
      </c>
      <c r="Z56" s="60">
        <f ca="1">IF(neural_net!Z$12,0,MMULT($O56:$S56,V$14:V$18))</f>
        <v>0.5936004199895073</v>
      </c>
      <c r="AA56" s="60">
        <f ca="1">IF(neural_net!AA$12,0,MMULT($O56:$S56,W$14:W$18))</f>
        <v>-1.2209944875773562</v>
      </c>
      <c r="AB56" s="60">
        <f ca="1">IF(neural_net!AB$12,0,MMULT($O56:$S56,X$14:X$18))</f>
        <v>-0.43884018087471965</v>
      </c>
      <c r="AC56" s="58"/>
      <c r="AD56" s="60">
        <v>1</v>
      </c>
      <c r="AE56" s="60">
        <f t="shared" ca="1" si="27"/>
        <v>0.53248012587827787</v>
      </c>
      <c r="AF56" s="60">
        <f t="shared" ca="1" si="28"/>
        <v>-0.83994728560952103</v>
      </c>
      <c r="AG56" s="60">
        <f t="shared" ca="1" si="29"/>
        <v>-0.41268260910358606</v>
      </c>
      <c r="AH56" s="60">
        <f t="shared" ca="1" si="30"/>
        <v>0.76256343653641911</v>
      </c>
      <c r="AI56" s="60">
        <f t="shared" ca="1" si="31"/>
        <v>0.52970422774184989</v>
      </c>
      <c r="AJ56" s="60">
        <f t="shared" ca="1" si="32"/>
        <v>0.84731594005593436</v>
      </c>
      <c r="AK56" s="25"/>
      <c r="AL56" s="154"/>
      <c r="AM56" s="101">
        <v>0</v>
      </c>
      <c r="AN56" s="102">
        <v>0</v>
      </c>
      <c r="AP56" s="62">
        <f ca="1">IF(neural_net!AP$12,0,MMULT($AD56:$AG56,AM$14:AM$17))</f>
        <v>0.71101891290152408</v>
      </c>
      <c r="AQ56" s="62">
        <f ca="1">IF(neural_net!AQ$12,0,MMULT($AD56:$AG56,AN$14:AN$17))</f>
        <v>0.41665802745283126</v>
      </c>
      <c r="AR56" s="24"/>
      <c r="AS56" s="62">
        <v>1</v>
      </c>
      <c r="AT56" s="62">
        <f t="shared" ca="1" si="33"/>
        <v>0.71101891290152408</v>
      </c>
      <c r="AU56" s="62">
        <f t="shared" ca="1" si="34"/>
        <v>0.41665802745283126</v>
      </c>
      <c r="AV56" s="118">
        <f t="shared" ca="1" si="35"/>
        <v>1</v>
      </c>
      <c r="AW56" s="118">
        <f t="shared" ca="1" si="36"/>
        <v>1</v>
      </c>
      <c r="AX56" s="24"/>
      <c r="AY56" s="24"/>
      <c r="AZ56" s="24"/>
      <c r="BB56" s="65">
        <f t="shared" ca="1" si="37"/>
        <v>1.1302154585104626E-2</v>
      </c>
      <c r="BC56" s="36"/>
      <c r="BD56" s="65">
        <f t="shared" ca="1" si="38"/>
        <v>0.50282550856910802</v>
      </c>
      <c r="BE56" s="65">
        <f t="shared" ca="1" si="39"/>
        <v>0.24999201650132591</v>
      </c>
      <c r="BF56" s="183">
        <f t="shared" ca="1" si="40"/>
        <v>0.9555792146730161</v>
      </c>
      <c r="BG56" s="183">
        <f t="shared" ca="1" si="41"/>
        <v>0.50282550856910802</v>
      </c>
    </row>
    <row r="57" spans="2:59" ht="16" thickBot="1">
      <c r="B57" s="1">
        <v>44</v>
      </c>
      <c r="C57" s="6">
        <v>-8.6596007427714188</v>
      </c>
      <c r="D57" s="6">
        <v>-13.695425617864922</v>
      </c>
      <c r="E57" s="6">
        <v>8.6357566089485598</v>
      </c>
      <c r="F57" s="6">
        <v>-5.4465356487423646</v>
      </c>
      <c r="G57" s="106">
        <f t="shared" si="15"/>
        <v>0.93641442406206832</v>
      </c>
      <c r="I57" s="72">
        <v>0.4885169818487779</v>
      </c>
      <c r="J57" s="10">
        <f t="shared" si="24"/>
        <v>51</v>
      </c>
      <c r="K57" s="10">
        <f t="shared" si="25"/>
        <v>5</v>
      </c>
      <c r="L57" s="10">
        <f t="shared" si="26"/>
        <v>0</v>
      </c>
      <c r="M57" s="10"/>
      <c r="N57" s="182">
        <f t="shared" ca="1" si="16"/>
        <v>0.99710251427971053</v>
      </c>
      <c r="O57" s="11">
        <v>1</v>
      </c>
      <c r="P57" s="11">
        <f t="shared" ca="1" si="44"/>
        <v>0.27993096743936235</v>
      </c>
      <c r="Q57" s="11">
        <f t="shared" ca="1" si="44"/>
        <v>0.42162529562615997</v>
      </c>
      <c r="R57" s="11">
        <f t="shared" ca="1" si="44"/>
        <v>0.43313798062183079</v>
      </c>
      <c r="S57" s="11">
        <f t="shared" ca="1" si="44"/>
        <v>0.5873388076980165</v>
      </c>
      <c r="T57" s="10"/>
      <c r="U57" s="151"/>
      <c r="V57" s="91">
        <v>0</v>
      </c>
      <c r="W57" s="92">
        <v>0</v>
      </c>
      <c r="X57" s="93">
        <v>0</v>
      </c>
      <c r="Z57" s="60">
        <f ca="1">IF(neural_net!Z$12,0,MMULT($O57:$S57,V$14:V$18))</f>
        <v>0.41704802165355015</v>
      </c>
      <c r="AA57" s="60">
        <f ca="1">IF(neural_net!AA$12,0,MMULT($O57:$S57,W$14:W$18))</f>
        <v>-1.2993383222515846</v>
      </c>
      <c r="AB57" s="60">
        <f ca="1">IF(neural_net!AB$12,0,MMULT($O57:$S57,X$14:X$18))</f>
        <v>-1.0523586591186498</v>
      </c>
      <c r="AC57" s="58"/>
      <c r="AD57" s="60">
        <v>1</v>
      </c>
      <c r="AE57" s="60">
        <f t="shared" ca="1" si="27"/>
        <v>0.39444063883643893</v>
      </c>
      <c r="AF57" s="60">
        <f t="shared" ca="1" si="28"/>
        <v>-0.8615527243410871</v>
      </c>
      <c r="AG57" s="60">
        <f t="shared" ca="1" si="29"/>
        <v>-0.78272166477858585</v>
      </c>
      <c r="AH57" s="60">
        <f t="shared" ca="1" si="30"/>
        <v>0.85923836370940387</v>
      </c>
      <c r="AI57" s="60">
        <f t="shared" ca="1" si="31"/>
        <v>0.51411180239050536</v>
      </c>
      <c r="AJ57" s="60">
        <f t="shared" ca="1" si="32"/>
        <v>0.5719358747957044</v>
      </c>
      <c r="AK57" s="25"/>
      <c r="AL57" s="67"/>
      <c r="AM57" s="68"/>
      <c r="AN57" s="68"/>
      <c r="AP57" s="62">
        <f ca="1">IF(neural_net!AP$12,0,MMULT($AD57:$AG57,AM$14:AM$17))</f>
        <v>0.40375243515298787</v>
      </c>
      <c r="AQ57" s="62">
        <f ca="1">IF(neural_net!AQ$12,0,MMULT($AD57:$AG57,AN$14:AN$17))</f>
        <v>0.67725353942939781</v>
      </c>
      <c r="AR57" s="24"/>
      <c r="AS57" s="62">
        <v>1</v>
      </c>
      <c r="AT57" s="62">
        <f t="shared" ca="1" si="33"/>
        <v>0.40375243515298787</v>
      </c>
      <c r="AU57" s="62">
        <f t="shared" ca="1" si="34"/>
        <v>0.67725353942939781</v>
      </c>
      <c r="AV57" s="118">
        <f t="shared" ca="1" si="35"/>
        <v>1</v>
      </c>
      <c r="AW57" s="118">
        <f t="shared" ca="1" si="36"/>
        <v>1</v>
      </c>
      <c r="AX57" s="24"/>
      <c r="AY57" s="24"/>
      <c r="AZ57" s="24"/>
      <c r="BB57" s="65">
        <f t="shared" ca="1" si="37"/>
        <v>0.20109532262148047</v>
      </c>
      <c r="BC57" s="36"/>
      <c r="BD57" s="65">
        <f t="shared" ca="1" si="38"/>
        <v>0.55010509298908805</v>
      </c>
      <c r="BE57" s="65">
        <f t="shared" ca="1" si="39"/>
        <v>0.24748947965655485</v>
      </c>
      <c r="BF57" s="183">
        <f t="shared" ca="1" si="40"/>
        <v>0.99710251427971053</v>
      </c>
      <c r="BG57" s="183">
        <f t="shared" ca="1" si="41"/>
        <v>0.55010509298908805</v>
      </c>
    </row>
    <row r="58" spans="2:59" ht="16" thickBot="1">
      <c r="B58" s="1">
        <v>45</v>
      </c>
      <c r="C58" s="6">
        <v>14.91128317655058</v>
      </c>
      <c r="D58" s="6">
        <v>-15.339233939067348</v>
      </c>
      <c r="E58" s="6">
        <v>-14.072709752374537</v>
      </c>
      <c r="F58" s="6">
        <v>-6.5971107387616543</v>
      </c>
      <c r="G58" s="106">
        <f t="shared" si="15"/>
        <v>1.8291032216823634E-2</v>
      </c>
      <c r="I58" s="72">
        <v>0.31466866995782516</v>
      </c>
      <c r="J58" s="10">
        <f t="shared" si="24"/>
        <v>68</v>
      </c>
      <c r="K58" s="10">
        <f t="shared" si="25"/>
        <v>5</v>
      </c>
      <c r="L58" s="10">
        <f t="shared" si="26"/>
        <v>0</v>
      </c>
      <c r="M58" s="10"/>
      <c r="N58" s="182">
        <f t="shared" ca="1" si="16"/>
        <v>0.38801433826280179</v>
      </c>
      <c r="O58" s="11">
        <v>1</v>
      </c>
      <c r="P58" s="11">
        <f t="shared" ca="1" si="44"/>
        <v>0.56268274259739637</v>
      </c>
      <c r="Q58" s="11">
        <f t="shared" ca="1" si="44"/>
        <v>0.81913320026146874</v>
      </c>
      <c r="R58" s="11">
        <f t="shared" ca="1" si="44"/>
        <v>0.53337466868332917</v>
      </c>
      <c r="S58" s="11">
        <f t="shared" ca="1" si="44"/>
        <v>0.59721423587509315</v>
      </c>
      <c r="T58" s="10"/>
      <c r="U58" s="10"/>
      <c r="V58" s="10"/>
      <c r="W58" s="10"/>
      <c r="X58" s="10"/>
      <c r="Z58" s="60">
        <f ca="1">IF(neural_net!Z$12,0,MMULT($O58:$S58,V$14:V$18))</f>
        <v>0.62047620284736293</v>
      </c>
      <c r="AA58" s="60">
        <f ca="1">IF(neural_net!AA$12,0,MMULT($O58:$S58,W$14:W$18))</f>
        <v>-1.9102045082412111</v>
      </c>
      <c r="AB58" s="60">
        <f ca="1">IF(neural_net!AB$12,0,MMULT($O58:$S58,X$14:X$18))</f>
        <v>-0.77826525762667675</v>
      </c>
      <c r="AC58" s="58"/>
      <c r="AD58" s="60">
        <v>1</v>
      </c>
      <c r="AE58" s="60">
        <f t="shared" ca="1" si="27"/>
        <v>0.55145950151107825</v>
      </c>
      <c r="AF58" s="60">
        <f t="shared" ca="1" si="28"/>
        <v>-0.9571025933387417</v>
      </c>
      <c r="AG58" s="60">
        <f t="shared" ca="1" si="29"/>
        <v>-0.65170988133669772</v>
      </c>
      <c r="AH58" s="60">
        <f t="shared" ca="1" si="30"/>
        <v>0.74838411892589374</v>
      </c>
      <c r="AI58" s="60">
        <f t="shared" ca="1" si="31"/>
        <v>0.4479782171174076</v>
      </c>
      <c r="AJ58" s="60">
        <f t="shared" ca="1" si="32"/>
        <v>0.67187733717456</v>
      </c>
      <c r="AK58" s="25"/>
      <c r="AL58" s="25"/>
      <c r="AM58" s="25"/>
      <c r="AN58" s="25"/>
      <c r="AP58" s="62">
        <f ca="1">IF(neural_net!AP$12,0,MMULT($AD58:$AG58,AM$14:AM$17))</f>
        <v>0.47260172334954109</v>
      </c>
      <c r="AQ58" s="62">
        <f ca="1">IF(neural_net!AQ$12,0,MMULT($AD58:$AG58,AN$14:AN$17))</f>
        <v>0.70016882253050361</v>
      </c>
      <c r="AR58" s="24"/>
      <c r="AS58" s="62">
        <v>1</v>
      </c>
      <c r="AT58" s="62">
        <f t="shared" ca="1" si="33"/>
        <v>0.47260172334954109</v>
      </c>
      <c r="AU58" s="62">
        <f t="shared" ca="1" si="34"/>
        <v>0.70016882253050361</v>
      </c>
      <c r="AV58" s="118">
        <f t="shared" ca="1" si="35"/>
        <v>1</v>
      </c>
      <c r="AW58" s="118">
        <f t="shared" ca="1" si="36"/>
        <v>1</v>
      </c>
      <c r="AX58" s="24"/>
      <c r="AY58" s="24"/>
      <c r="AZ58" s="24"/>
      <c r="BB58" s="65">
        <f t="shared" ca="1" si="37"/>
        <v>0.17632188373750601</v>
      </c>
      <c r="BC58" s="36"/>
      <c r="BD58" s="65">
        <f t="shared" ca="1" si="38"/>
        <v>0.5439666218972049</v>
      </c>
      <c r="BE58" s="65">
        <f t="shared" ca="1" si="39"/>
        <v>0.24806693615894823</v>
      </c>
      <c r="BF58" s="183">
        <f t="shared" ca="1" si="40"/>
        <v>0.38801433826280179</v>
      </c>
      <c r="BG58" s="183">
        <f t="shared" ca="1" si="41"/>
        <v>0.5439666218972049</v>
      </c>
    </row>
    <row r="59" spans="2:59">
      <c r="B59" s="1">
        <v>46</v>
      </c>
      <c r="C59" s="6">
        <v>3.1211940105496789</v>
      </c>
      <c r="D59" s="6">
        <v>-8.5197113092263148</v>
      </c>
      <c r="E59" s="6">
        <v>8.5957050035134355</v>
      </c>
      <c r="F59" s="6">
        <v>-1.5153462973776719</v>
      </c>
      <c r="G59" s="106">
        <f t="shared" si="15"/>
        <v>0.85032709608806567</v>
      </c>
      <c r="I59" s="72">
        <v>0.71906761237279992</v>
      </c>
      <c r="J59" s="10">
        <f t="shared" si="24"/>
        <v>27</v>
      </c>
      <c r="K59" s="10">
        <f t="shared" si="25"/>
        <v>5</v>
      </c>
      <c r="L59" s="10">
        <f t="shared" si="26"/>
        <v>0</v>
      </c>
      <c r="M59" s="10"/>
      <c r="N59" s="182">
        <f t="shared" ca="1" si="16"/>
        <v>0.91735541056321523</v>
      </c>
      <c r="O59" s="11">
        <v>1</v>
      </c>
      <c r="P59" s="11">
        <f t="shared" ca="1" si="44"/>
        <v>0.1593934550700653</v>
      </c>
      <c r="Q59" s="11">
        <f t="shared" ca="1" si="44"/>
        <v>0.25591092192217962</v>
      </c>
      <c r="R59" s="11">
        <f t="shared" ca="1" si="44"/>
        <v>0.13233970048533578</v>
      </c>
      <c r="S59" s="11">
        <f t="shared" ca="1" si="44"/>
        <v>0.19021864480203104</v>
      </c>
      <c r="T59" s="10"/>
      <c r="U59" s="149" t="s">
        <v>129</v>
      </c>
      <c r="V59" s="86">
        <v>0</v>
      </c>
      <c r="W59" s="87">
        <v>0</v>
      </c>
      <c r="X59" s="88">
        <v>0</v>
      </c>
      <c r="Z59" s="60">
        <f ca="1">IF(neural_net!Z$12,0,MMULT($O59:$S59,V$14:V$18))</f>
        <v>0.48301976124275303</v>
      </c>
      <c r="AA59" s="60">
        <f ca="1">IF(neural_net!AA$12,0,MMULT($O59:$S59,W$14:W$18))</f>
        <v>-0.65968143892679088</v>
      </c>
      <c r="AB59" s="60">
        <f ca="1">IF(neural_net!AB$12,0,MMULT($O59:$S59,X$14:X$18))</f>
        <v>-0.65649876911839811</v>
      </c>
      <c r="AC59" s="58"/>
      <c r="AD59" s="60">
        <v>1</v>
      </c>
      <c r="AE59" s="60">
        <f t="shared" ca="1" si="27"/>
        <v>0.44865877439613661</v>
      </c>
      <c r="AF59" s="60">
        <f t="shared" ca="1" si="28"/>
        <v>-0.5781513729402441</v>
      </c>
      <c r="AG59" s="60">
        <f t="shared" ca="1" si="29"/>
        <v>-0.57602864039289381</v>
      </c>
      <c r="AH59" s="60">
        <f t="shared" ca="1" si="30"/>
        <v>0.82293081676509461</v>
      </c>
      <c r="AI59" s="60">
        <f t="shared" ca="1" si="31"/>
        <v>0.72822492475747058</v>
      </c>
      <c r="AJ59" s="60">
        <f t="shared" ca="1" si="32"/>
        <v>0.72983605541156171</v>
      </c>
      <c r="AK59" s="25"/>
      <c r="AL59" s="152" t="s">
        <v>129</v>
      </c>
      <c r="AM59" s="97">
        <v>0</v>
      </c>
      <c r="AN59" s="98">
        <v>0</v>
      </c>
      <c r="AP59" s="62">
        <f ca="1">IF(neural_net!AP$12,0,MMULT($AD59:$AG59,AM$14:AM$17))</f>
        <v>0.48530285636746195</v>
      </c>
      <c r="AQ59" s="62">
        <f ca="1">IF(neural_net!AQ$12,0,MMULT($AD59:$AG59,AN$14:AN$17))</f>
        <v>0.43116347486008577</v>
      </c>
      <c r="AR59" s="24"/>
      <c r="AS59" s="62">
        <v>1</v>
      </c>
      <c r="AT59" s="62">
        <f t="shared" ca="1" si="33"/>
        <v>0.48530285636746195</v>
      </c>
      <c r="AU59" s="62">
        <f t="shared" ca="1" si="34"/>
        <v>0.43116347486008577</v>
      </c>
      <c r="AV59" s="118">
        <f t="shared" ca="1" si="35"/>
        <v>1</v>
      </c>
      <c r="AW59" s="118">
        <f t="shared" ca="1" si="36"/>
        <v>1</v>
      </c>
      <c r="AX59" s="24"/>
      <c r="AY59" s="146" t="s">
        <v>131</v>
      </c>
      <c r="AZ59" s="103">
        <v>0</v>
      </c>
      <c r="BB59" s="65">
        <f t="shared" ca="1" si="37"/>
        <v>0.11209075209267377</v>
      </c>
      <c r="BC59" s="36"/>
      <c r="BD59" s="65">
        <f t="shared" ca="1" si="38"/>
        <v>0.52799338430016085</v>
      </c>
      <c r="BE59" s="65">
        <f t="shared" ca="1" si="39"/>
        <v>0.2492163704354235</v>
      </c>
      <c r="BF59" s="183">
        <f t="shared" ca="1" si="40"/>
        <v>0.91735541056321523</v>
      </c>
      <c r="BG59" s="183">
        <f t="shared" ca="1" si="41"/>
        <v>0.52799338430016085</v>
      </c>
    </row>
    <row r="60" spans="2:59">
      <c r="B60" s="1">
        <v>47</v>
      </c>
      <c r="C60" s="6">
        <v>7.9106418509966705</v>
      </c>
      <c r="D60" s="6">
        <v>1.3470718848083816</v>
      </c>
      <c r="E60" s="6">
        <v>-6.1478431403502407</v>
      </c>
      <c r="F60" s="6">
        <v>1.9900044185943355</v>
      </c>
      <c r="G60" s="106">
        <f t="shared" si="15"/>
        <v>0.99999999523561134</v>
      </c>
      <c r="I60" s="72">
        <v>0.27302807541544061</v>
      </c>
      <c r="J60" s="10">
        <f t="shared" si="24"/>
        <v>72</v>
      </c>
      <c r="K60" s="10">
        <f t="shared" si="25"/>
        <v>5</v>
      </c>
      <c r="L60" s="10">
        <f t="shared" si="26"/>
        <v>0</v>
      </c>
      <c r="M60" s="10"/>
      <c r="N60" s="182">
        <f t="shared" ca="1" si="16"/>
        <v>6.0088326356099548E-3</v>
      </c>
      <c r="O60" s="11">
        <v>1</v>
      </c>
      <c r="P60" s="11">
        <f t="shared" ca="1" si="44"/>
        <v>0.4682348846498196</v>
      </c>
      <c r="Q60" s="11">
        <f t="shared" ca="1" si="44"/>
        <v>0.55349664511768037</v>
      </c>
      <c r="R60" s="11">
        <f t="shared" ca="1" si="44"/>
        <v>0.5413914322296024</v>
      </c>
      <c r="S60" s="11">
        <f t="shared" ca="1" si="44"/>
        <v>3.5543067139789879E-2</v>
      </c>
      <c r="T60" s="10"/>
      <c r="U60" s="150"/>
      <c r="V60" s="89">
        <v>0</v>
      </c>
      <c r="W60" s="85">
        <v>0</v>
      </c>
      <c r="X60" s="90">
        <v>0</v>
      </c>
      <c r="Z60" s="60">
        <f ca="1">IF(neural_net!Z$12,0,MMULT($O60:$S60,V$14:V$18))</f>
        <v>0.72241939863095206</v>
      </c>
      <c r="AA60" s="60">
        <f ca="1">IF(neural_net!AA$12,0,MMULT($O60:$S60,W$14:W$18))</f>
        <v>-1.1664048744749935</v>
      </c>
      <c r="AB60" s="60">
        <f ca="1">IF(neural_net!AB$12,0,MMULT($O60:$S60,X$14:X$18))</f>
        <v>-0.49298095350412691</v>
      </c>
      <c r="AC60" s="58"/>
      <c r="AD60" s="60">
        <v>1</v>
      </c>
      <c r="AE60" s="60">
        <f t="shared" ca="1" si="27"/>
        <v>0.61840569745966645</v>
      </c>
      <c r="AF60" s="60">
        <f t="shared" ca="1" si="28"/>
        <v>-0.82311624112045478</v>
      </c>
      <c r="AG60" s="60">
        <f t="shared" ca="1" si="29"/>
        <v>-0.45657917187190972</v>
      </c>
      <c r="AH60" s="60">
        <f t="shared" ca="1" si="30"/>
        <v>0.6974812914257249</v>
      </c>
      <c r="AI60" s="60">
        <f t="shared" ca="1" si="31"/>
        <v>0.54199262880437726</v>
      </c>
      <c r="AJ60" s="60">
        <f t="shared" ca="1" si="32"/>
        <v>0.81742150819891801</v>
      </c>
      <c r="AK60" s="25"/>
      <c r="AL60" s="153"/>
      <c r="AM60" s="99">
        <v>0</v>
      </c>
      <c r="AN60" s="100">
        <v>0</v>
      </c>
      <c r="AP60" s="62">
        <f ca="1">IF(neural_net!AP$12,0,MMULT($AD60:$AG60,AM$14:AM$17))</f>
        <v>0.59057714244088222</v>
      </c>
      <c r="AQ60" s="62">
        <f ca="1">IF(neural_net!AQ$12,0,MMULT($AD60:$AG60,AN$14:AN$17))</f>
        <v>0.52080773959015136</v>
      </c>
      <c r="AR60" s="24"/>
      <c r="AS60" s="62">
        <v>1</v>
      </c>
      <c r="AT60" s="62">
        <f t="shared" ca="1" si="33"/>
        <v>0.59057714244088222</v>
      </c>
      <c r="AU60" s="62">
        <f t="shared" ca="1" si="34"/>
        <v>0.52080773959015136</v>
      </c>
      <c r="AV60" s="118">
        <f t="shared" ca="1" si="35"/>
        <v>1</v>
      </c>
      <c r="AW60" s="118">
        <f t="shared" ca="1" si="36"/>
        <v>1</v>
      </c>
      <c r="AX60" s="24"/>
      <c r="AY60" s="147"/>
      <c r="AZ60" s="104">
        <v>0</v>
      </c>
      <c r="BB60" s="65">
        <f t="shared" ca="1" si="37"/>
        <v>8.6134074071105224E-2</v>
      </c>
      <c r="BC60" s="36"/>
      <c r="BD60" s="65">
        <f t="shared" ca="1" si="38"/>
        <v>0.52152021514848701</v>
      </c>
      <c r="BE60" s="65">
        <f t="shared" ca="1" si="39"/>
        <v>0.24953688033996282</v>
      </c>
      <c r="BF60" s="183">
        <f t="shared" ca="1" si="40"/>
        <v>6.0088326356099548E-3</v>
      </c>
      <c r="BG60" s="183">
        <f t="shared" ca="1" si="41"/>
        <v>0.52152021514848701</v>
      </c>
    </row>
    <row r="61" spans="2:59" ht="16" thickBot="1">
      <c r="B61" s="1">
        <v>48</v>
      </c>
      <c r="C61" s="6">
        <v>10.086239119537632</v>
      </c>
      <c r="D61" s="6">
        <v>7.5865595391554201</v>
      </c>
      <c r="E61" s="6">
        <v>-1.606447412935418</v>
      </c>
      <c r="F61" s="6">
        <v>-15.528711230780225</v>
      </c>
      <c r="G61" s="106">
        <f t="shared" si="15"/>
        <v>0.98086167603969143</v>
      </c>
      <c r="I61" s="72">
        <v>5.6260257320521756E-3</v>
      </c>
      <c r="J61" s="10">
        <f t="shared" si="24"/>
        <v>100</v>
      </c>
      <c r="K61" s="10">
        <f t="shared" si="25"/>
        <v>5</v>
      </c>
      <c r="L61" s="10">
        <f t="shared" si="26"/>
        <v>0</v>
      </c>
      <c r="M61" s="10"/>
      <c r="N61" s="182">
        <f t="shared" ca="1" si="16"/>
        <v>0.87844915865506068</v>
      </c>
      <c r="O61" s="11">
        <v>1</v>
      </c>
      <c r="P61" s="11">
        <f t="shared" ca="1" si="44"/>
        <v>0.297713219717543</v>
      </c>
      <c r="Q61" s="11">
        <f t="shared" ca="1" si="44"/>
        <v>0.18240755599987571</v>
      </c>
      <c r="R61" s="11">
        <f t="shared" ca="1" si="44"/>
        <v>0.64684084284752397</v>
      </c>
      <c r="S61" s="11">
        <f t="shared" ca="1" si="44"/>
        <v>0.23715020402701217</v>
      </c>
      <c r="T61" s="10"/>
      <c r="U61" s="150"/>
      <c r="V61" s="89">
        <v>0</v>
      </c>
      <c r="W61" s="85">
        <v>0</v>
      </c>
      <c r="X61" s="90">
        <v>0</v>
      </c>
      <c r="Z61" s="60">
        <f ca="1">IF(neural_net!Z$12,0,MMULT($O61:$S61,V$14:V$18))</f>
        <v>0.44501562161195735</v>
      </c>
      <c r="AA61" s="60">
        <f ca="1">IF(neural_net!AA$12,0,MMULT($O61:$S61,W$14:W$18))</f>
        <v>-0.89829823041027446</v>
      </c>
      <c r="AB61" s="60">
        <f ca="1">IF(neural_net!AB$12,0,MMULT($O61:$S61,X$14:X$18))</f>
        <v>-0.98732690298159742</v>
      </c>
      <c r="AC61" s="58"/>
      <c r="AD61" s="60">
        <v>1</v>
      </c>
      <c r="AE61" s="60">
        <f t="shared" ca="1" si="27"/>
        <v>0.41779324005737689</v>
      </c>
      <c r="AF61" s="60">
        <f t="shared" ca="1" si="28"/>
        <v>-0.7154682385426262</v>
      </c>
      <c r="AG61" s="60">
        <f t="shared" ca="1" si="29"/>
        <v>-0.75622019995978429</v>
      </c>
      <c r="AH61" s="60">
        <f t="shared" ca="1" si="30"/>
        <v>0.84391990955949725</v>
      </c>
      <c r="AI61" s="60">
        <f t="shared" ca="1" si="31"/>
        <v>0.6228880978364707</v>
      </c>
      <c r="AJ61" s="60">
        <f t="shared" ca="1" si="32"/>
        <v>0.5918768298135384</v>
      </c>
      <c r="AK61" s="25"/>
      <c r="AL61" s="153"/>
      <c r="AM61" s="99">
        <v>0</v>
      </c>
      <c r="AN61" s="100">
        <v>0</v>
      </c>
      <c r="AP61" s="62">
        <f ca="1">IF(neural_net!AP$12,0,MMULT($AD61:$AG61,AM$14:AM$17))</f>
        <v>0.35862853162248876</v>
      </c>
      <c r="AQ61" s="62">
        <f ca="1">IF(neural_net!AQ$12,0,MMULT($AD61:$AG61,AN$14:AN$17))</f>
        <v>0.62489223017179341</v>
      </c>
      <c r="AR61" s="24"/>
      <c r="AS61" s="62">
        <v>1</v>
      </c>
      <c r="AT61" s="62">
        <f t="shared" ca="1" si="33"/>
        <v>0.35862853162248876</v>
      </c>
      <c r="AU61" s="62">
        <f t="shared" ca="1" si="34"/>
        <v>0.62489223017179341</v>
      </c>
      <c r="AV61" s="118">
        <f t="shared" ca="1" si="35"/>
        <v>1</v>
      </c>
      <c r="AW61" s="118">
        <f t="shared" ca="1" si="36"/>
        <v>1</v>
      </c>
      <c r="AX61" s="24"/>
      <c r="AY61" s="148"/>
      <c r="AZ61" s="105">
        <v>0</v>
      </c>
      <c r="BB61" s="65">
        <f t="shared" ca="1" si="37"/>
        <v>0.20917801856702534</v>
      </c>
      <c r="BC61" s="36"/>
      <c r="BD61" s="65">
        <f t="shared" ca="1" si="38"/>
        <v>0.55210465452604984</v>
      </c>
      <c r="BE61" s="65">
        <f t="shared" ca="1" si="39"/>
        <v>0.24728510497672099</v>
      </c>
      <c r="BF61" s="183">
        <f t="shared" ca="1" si="40"/>
        <v>0.87844915865506068</v>
      </c>
      <c r="BG61" s="183">
        <f t="shared" ca="1" si="41"/>
        <v>0.55210465452604984</v>
      </c>
    </row>
    <row r="62" spans="2:59" ht="16" thickBot="1">
      <c r="B62" s="1">
        <v>49</v>
      </c>
      <c r="C62" s="6">
        <v>-16.446386416903415</v>
      </c>
      <c r="D62" s="6">
        <v>-1.6550376139369161</v>
      </c>
      <c r="E62" s="6">
        <v>-9.038192976316342</v>
      </c>
      <c r="F62" s="6">
        <v>8.8007115374136156</v>
      </c>
      <c r="G62" s="106">
        <f t="shared" si="15"/>
        <v>0.9999999999999325</v>
      </c>
      <c r="I62" s="72">
        <v>0.20200742120721704</v>
      </c>
      <c r="J62" s="10">
        <f t="shared" si="24"/>
        <v>77</v>
      </c>
      <c r="K62" s="10">
        <f t="shared" si="25"/>
        <v>5</v>
      </c>
      <c r="L62" s="10">
        <f t="shared" si="26"/>
        <v>0</v>
      </c>
      <c r="M62" s="10"/>
      <c r="N62" s="182">
        <f t="shared" ca="1" si="16"/>
        <v>0.72124496815905526</v>
      </c>
      <c r="O62" s="11">
        <v>1</v>
      </c>
      <c r="P62" s="11">
        <f t="shared" ca="1" si="44"/>
        <v>0.52660134987957075</v>
      </c>
      <c r="Q62" s="11">
        <f t="shared" ca="1" si="44"/>
        <v>0.46423794215538755</v>
      </c>
      <c r="R62" s="11">
        <f t="shared" ca="1" si="44"/>
        <v>0.53262631523038151</v>
      </c>
      <c r="S62" s="11">
        <f t="shared" ca="1" si="44"/>
        <v>0.60974051866303636</v>
      </c>
      <c r="T62" s="10"/>
      <c r="U62" s="150"/>
      <c r="V62" s="89">
        <v>0</v>
      </c>
      <c r="W62" s="85">
        <v>0</v>
      </c>
      <c r="X62" s="90">
        <v>0</v>
      </c>
      <c r="Z62" s="60">
        <f ca="1">IF(neural_net!Z$12,0,MMULT($O62:$S62,V$14:V$18))</f>
        <v>0.40948336573744049</v>
      </c>
      <c r="AA62" s="60">
        <f ca="1">IF(neural_net!AA$12,0,MMULT($O62:$S62,W$14:W$18))</f>
        <v>-1.5917290386385166</v>
      </c>
      <c r="AB62" s="60">
        <f ca="1">IF(neural_net!AB$12,0,MMULT($O62:$S62,X$14:X$18))</f>
        <v>-0.91685914657856871</v>
      </c>
      <c r="AC62" s="58"/>
      <c r="AD62" s="60">
        <v>1</v>
      </c>
      <c r="AE62" s="60">
        <f t="shared" ca="1" si="27"/>
        <v>0.38803392374008183</v>
      </c>
      <c r="AF62" s="60">
        <f t="shared" ca="1" si="28"/>
        <v>-0.9204140159321208</v>
      </c>
      <c r="AG62" s="60">
        <f t="shared" ca="1" si="29"/>
        <v>-0.72440817159284898</v>
      </c>
      <c r="AH62" s="60">
        <f t="shared" ca="1" si="30"/>
        <v>0.86334848728707281</v>
      </c>
      <c r="AI62" s="60">
        <f t="shared" ca="1" si="31"/>
        <v>0.47278864207267679</v>
      </c>
      <c r="AJ62" s="60">
        <f t="shared" ca="1" si="32"/>
        <v>0.6160556858811238</v>
      </c>
      <c r="AK62" s="25"/>
      <c r="AL62" s="154"/>
      <c r="AM62" s="101">
        <v>0</v>
      </c>
      <c r="AN62" s="102">
        <v>0</v>
      </c>
      <c r="AP62" s="62">
        <f ca="1">IF(neural_net!AP$12,0,MMULT($AD62:$AG62,AM$14:AM$17))</f>
        <v>0.49777608944606444</v>
      </c>
      <c r="AQ62" s="62">
        <f ca="1">IF(neural_net!AQ$12,0,MMULT($AD62:$AG62,AN$14:AN$17))</f>
        <v>0.63340375617561251</v>
      </c>
      <c r="AR62" s="24"/>
      <c r="AS62" s="62">
        <v>1</v>
      </c>
      <c r="AT62" s="62">
        <f t="shared" ca="1" si="33"/>
        <v>0.49777608944606444</v>
      </c>
      <c r="AU62" s="62">
        <f t="shared" ca="1" si="34"/>
        <v>0.63340375617561251</v>
      </c>
      <c r="AV62" s="118">
        <f t="shared" ca="1" si="35"/>
        <v>1</v>
      </c>
      <c r="AW62" s="118">
        <f t="shared" ca="1" si="36"/>
        <v>1</v>
      </c>
      <c r="AX62" s="24"/>
      <c r="AY62" s="24"/>
      <c r="AZ62" s="24"/>
      <c r="BB62" s="65">
        <f t="shared" ca="1" si="37"/>
        <v>0.15085576303771017</v>
      </c>
      <c r="BC62" s="36"/>
      <c r="BD62" s="65">
        <f t="shared" ca="1" si="38"/>
        <v>0.53764258035776114</v>
      </c>
      <c r="BE62" s="65">
        <f t="shared" ca="1" si="39"/>
        <v>0.24858303614400951</v>
      </c>
      <c r="BF62" s="183">
        <f t="shared" ca="1" si="40"/>
        <v>0.72124496815905526</v>
      </c>
      <c r="BG62" s="183">
        <f t="shared" ca="1" si="41"/>
        <v>0.53764258035776114</v>
      </c>
    </row>
    <row r="63" spans="2:59" ht="16" thickBot="1">
      <c r="B63" s="1">
        <v>50</v>
      </c>
      <c r="C63" s="6">
        <v>6.9237052924998777</v>
      </c>
      <c r="D63" s="6">
        <v>-17.093987098183042</v>
      </c>
      <c r="E63" s="6">
        <v>-1.7701589357730241</v>
      </c>
      <c r="F63" s="6">
        <v>12.81000775111783</v>
      </c>
      <c r="G63" s="106">
        <f t="shared" si="15"/>
        <v>0.2412168705026885</v>
      </c>
      <c r="I63" s="72">
        <v>0.59091526163338759</v>
      </c>
      <c r="J63" s="10">
        <f t="shared" si="24"/>
        <v>41</v>
      </c>
      <c r="K63" s="10">
        <f t="shared" si="25"/>
        <v>5</v>
      </c>
      <c r="L63" s="10">
        <f t="shared" si="26"/>
        <v>0</v>
      </c>
      <c r="M63" s="10"/>
      <c r="N63" s="182">
        <f t="shared" ca="1" si="16"/>
        <v>0</v>
      </c>
      <c r="O63" s="11">
        <v>1</v>
      </c>
      <c r="P63" s="11">
        <f t="shared" ca="1" si="44"/>
        <v>0.39091876719957852</v>
      </c>
      <c r="Q63" s="11">
        <f t="shared" ca="1" si="44"/>
        <v>0.52095521553033008</v>
      </c>
      <c r="R63" s="11">
        <f t="shared" ca="1" si="44"/>
        <v>0.85081640353403176</v>
      </c>
      <c r="S63" s="11">
        <f t="shared" ca="1" si="44"/>
        <v>0.81037836438998578</v>
      </c>
      <c r="T63" s="10"/>
      <c r="U63" s="151"/>
      <c r="V63" s="91">
        <v>0</v>
      </c>
      <c r="W63" s="92">
        <v>0</v>
      </c>
      <c r="X63" s="93">
        <v>0</v>
      </c>
      <c r="Z63" s="60">
        <f ca="1">IF(neural_net!Z$12,0,MMULT($O63:$S63,V$14:V$18))</f>
        <v>0.39931286311796049</v>
      </c>
      <c r="AA63" s="60">
        <f ca="1">IF(neural_net!AA$12,0,MMULT($O63:$S63,W$14:W$18))</f>
        <v>-1.7709039961094555</v>
      </c>
      <c r="AB63" s="60">
        <f ca="1">IF(neural_net!AB$12,0,MMULT($O63:$S63,X$14:X$18))</f>
        <v>-1.4259452729454778</v>
      </c>
      <c r="AC63" s="58"/>
      <c r="AD63" s="60">
        <v>1</v>
      </c>
      <c r="AE63" s="60">
        <f t="shared" ca="1" si="27"/>
        <v>0.37936086784226974</v>
      </c>
      <c r="AF63" s="60">
        <f t="shared" ca="1" si="28"/>
        <v>-0.94370841869637168</v>
      </c>
      <c r="AG63" s="60">
        <f t="shared" ca="1" si="29"/>
        <v>-0.89083265053951355</v>
      </c>
      <c r="AH63" s="60">
        <f t="shared" ca="1" si="30"/>
        <v>0.86884571963178814</v>
      </c>
      <c r="AI63" s="60">
        <f t="shared" ca="1" si="31"/>
        <v>0.45694679316212594</v>
      </c>
      <c r="AJ63" s="60">
        <f t="shared" ca="1" si="32"/>
        <v>0.49333399766741115</v>
      </c>
      <c r="AK63" s="25"/>
      <c r="AL63" s="25"/>
      <c r="AM63" s="25"/>
      <c r="AN63" s="25"/>
      <c r="AP63" s="62">
        <f ca="1">IF(neural_net!AP$12,0,MMULT($AD63:$AG63,AM$14:AM$17))</f>
        <v>0.32509328367688939</v>
      </c>
      <c r="AQ63" s="62">
        <f ca="1">IF(neural_net!AQ$12,0,MMULT($AD63:$AG63,AN$14:AN$17))</f>
        <v>0.79607675848317405</v>
      </c>
      <c r="AR63" s="24"/>
      <c r="AS63" s="62">
        <v>1</v>
      </c>
      <c r="AT63" s="62">
        <f t="shared" ca="1" si="33"/>
        <v>0.32509328367688939</v>
      </c>
      <c r="AU63" s="62">
        <f t="shared" ca="1" si="34"/>
        <v>0.79607675848317405</v>
      </c>
      <c r="AV63" s="118">
        <f t="shared" ca="1" si="35"/>
        <v>1</v>
      </c>
      <c r="AW63" s="118">
        <f t="shared" ca="1" si="36"/>
        <v>1</v>
      </c>
      <c r="AX63" s="24"/>
      <c r="AY63" s="24"/>
      <c r="AZ63" s="24"/>
      <c r="BB63" s="65">
        <f t="shared" ca="1" si="37"/>
        <v>0.26106041937045432</v>
      </c>
      <c r="BC63" s="36"/>
      <c r="BD63" s="65">
        <f t="shared" ca="1" si="38"/>
        <v>0.5648969484820997</v>
      </c>
      <c r="BE63" s="65">
        <f t="shared" ca="1" si="39"/>
        <v>0.2457883860777117</v>
      </c>
      <c r="BF63" s="183">
        <f t="shared" ca="1" si="40"/>
        <v>8.8615397702812788E-49</v>
      </c>
      <c r="BG63" s="183">
        <f t="shared" ca="1" si="41"/>
        <v>0.5648969484820997</v>
      </c>
    </row>
    <row r="64" spans="2:59">
      <c r="B64" s="1">
        <v>51</v>
      </c>
      <c r="C64" s="6">
        <v>-10.721129476672846</v>
      </c>
      <c r="D64" s="6">
        <v>-5.6070703958892176</v>
      </c>
      <c r="E64" s="6">
        <v>-0.83819543341224523</v>
      </c>
      <c r="F64" s="6">
        <v>3.9993910230822474</v>
      </c>
      <c r="G64" s="106">
        <f t="shared" si="15"/>
        <v>0.99710251427971053</v>
      </c>
      <c r="I64" s="72">
        <v>4.8515171258655232E-2</v>
      </c>
      <c r="J64" s="10">
        <f t="shared" si="24"/>
        <v>96</v>
      </c>
      <c r="K64" s="10">
        <f t="shared" si="25"/>
        <v>6</v>
      </c>
      <c r="L64" s="10">
        <f t="shared" si="26"/>
        <v>0</v>
      </c>
      <c r="M64" s="10"/>
      <c r="N64" s="182">
        <f t="shared" ca="1" si="16"/>
        <v>0.99999999999069678</v>
      </c>
      <c r="O64" s="11">
        <v>1</v>
      </c>
      <c r="P64" s="11">
        <f t="shared" ca="1" si="44"/>
        <v>0.4472123590106446</v>
      </c>
      <c r="Q64" s="11">
        <f t="shared" ca="1" si="44"/>
        <v>0.50901125394659685</v>
      </c>
      <c r="R64" s="11">
        <f t="shared" ca="1" si="44"/>
        <v>0.47941189222074232</v>
      </c>
      <c r="S64" s="11">
        <f t="shared" ca="1" si="44"/>
        <v>0.62568270215140687</v>
      </c>
      <c r="T64" s="10"/>
      <c r="U64" s="10"/>
      <c r="V64" s="10"/>
      <c r="W64" s="10"/>
      <c r="X64" s="10"/>
      <c r="Z64" s="60">
        <f ca="1">IF(neural_net!Z$12,0,MMULT($O64:$S64,V$14:V$18))</f>
        <v>0.43457269167564522</v>
      </c>
      <c r="AA64" s="60">
        <f ca="1">IF(neural_net!AA$12,0,MMULT($O64:$S64,W$14:W$18))</f>
        <v>-1.5588992680778799</v>
      </c>
      <c r="AB64" s="60">
        <f ca="1">IF(neural_net!AB$12,0,MMULT($O64:$S64,X$14:X$18))</f>
        <v>-0.94659922047669165</v>
      </c>
      <c r="AC64" s="58"/>
      <c r="AD64" s="60">
        <v>1</v>
      </c>
      <c r="AE64" s="60">
        <f t="shared" ca="1" si="27"/>
        <v>0.4091356778789132</v>
      </c>
      <c r="AF64" s="60">
        <f t="shared" ca="1" si="28"/>
        <v>-0.91524195201898917</v>
      </c>
      <c r="AG64" s="60">
        <f t="shared" ca="1" si="29"/>
        <v>-0.7382395696403431</v>
      </c>
      <c r="AH64" s="60">
        <f t="shared" ca="1" si="30"/>
        <v>0.84965881876935878</v>
      </c>
      <c r="AI64" s="60">
        <f t="shared" ca="1" si="31"/>
        <v>0.47634699285507665</v>
      </c>
      <c r="AJ64" s="60">
        <f t="shared" ca="1" si="32"/>
        <v>0.60551504533734846</v>
      </c>
      <c r="AK64" s="25"/>
      <c r="AL64" s="25"/>
      <c r="AM64" s="25"/>
      <c r="AN64" s="25"/>
      <c r="AP64" s="62">
        <f ca="1">IF(neural_net!AP$12,0,MMULT($AD64:$AG64,AM$14:AM$17))</f>
        <v>0.46433433642975297</v>
      </c>
      <c r="AQ64" s="62">
        <f ca="1">IF(neural_net!AQ$12,0,MMULT($AD64:$AG64,AN$14:AN$17))</f>
        <v>0.66163909035489987</v>
      </c>
      <c r="AR64" s="24"/>
      <c r="AS64" s="62">
        <v>1</v>
      </c>
      <c r="AT64" s="62">
        <f t="shared" ca="1" si="33"/>
        <v>0.46433433642975297</v>
      </c>
      <c r="AU64" s="62">
        <f t="shared" ca="1" si="34"/>
        <v>0.66163909035489987</v>
      </c>
      <c r="AV64" s="118">
        <f t="shared" ca="1" si="35"/>
        <v>1</v>
      </c>
      <c r="AW64" s="118">
        <f t="shared" ca="1" si="36"/>
        <v>1</v>
      </c>
      <c r="AX64" s="24"/>
      <c r="AY64" s="24"/>
      <c r="AZ64" s="24"/>
      <c r="BB64" s="65">
        <f t="shared" ca="1" si="37"/>
        <v>0.17148443935552035</v>
      </c>
      <c r="BC64" s="36"/>
      <c r="BD64" s="65">
        <f t="shared" ca="1" si="38"/>
        <v>0.54276635895189451</v>
      </c>
      <c r="BE64" s="65">
        <f t="shared" ca="1" si="39"/>
        <v>0.24817103854199771</v>
      </c>
      <c r="BF64" s="183">
        <f t="shared" ca="1" si="40"/>
        <v>0.99999999999069678</v>
      </c>
      <c r="BG64" s="183">
        <f t="shared" ca="1" si="41"/>
        <v>0.54276635895189451</v>
      </c>
    </row>
    <row r="65" spans="2:59">
      <c r="B65" s="1">
        <v>52</v>
      </c>
      <c r="C65" s="6">
        <v>1.8635154715889484</v>
      </c>
      <c r="D65" s="6">
        <v>5.4817345274262177</v>
      </c>
      <c r="E65" s="6">
        <v>-18.462225004416425</v>
      </c>
      <c r="F65" s="6">
        <v>-11.061135976551258</v>
      </c>
      <c r="G65" s="106">
        <f t="shared" si="15"/>
        <v>0.54619194802875759</v>
      </c>
      <c r="I65" s="72">
        <v>0.93951810963766136</v>
      </c>
      <c r="J65" s="10">
        <f t="shared" si="24"/>
        <v>7</v>
      </c>
      <c r="K65" s="10">
        <f t="shared" si="25"/>
        <v>6</v>
      </c>
      <c r="L65" s="10">
        <f t="shared" si="26"/>
        <v>0</v>
      </c>
      <c r="M65" s="10"/>
      <c r="N65" s="182">
        <f t="shared" ca="1" si="16"/>
        <v>8.8134354209133861E-2</v>
      </c>
      <c r="O65" s="11">
        <v>1</v>
      </c>
      <c r="P65" s="11">
        <f t="shared" ca="1" si="44"/>
        <v>0.75256582624437418</v>
      </c>
      <c r="Q65" s="11">
        <f t="shared" ca="1" si="44"/>
        <v>0.4441849127293907</v>
      </c>
      <c r="R65" s="11">
        <f t="shared" ca="1" si="44"/>
        <v>1</v>
      </c>
      <c r="S65" s="11">
        <f t="shared" ca="1" si="44"/>
        <v>0.37514288210243302</v>
      </c>
      <c r="T65" s="10"/>
      <c r="U65" s="10"/>
      <c r="V65" s="10"/>
      <c r="W65" s="10"/>
      <c r="X65" s="10"/>
      <c r="Z65" s="60">
        <f ca="1">IF(neural_net!Z$12,0,MMULT($O65:$S65,V$14:V$18))</f>
        <v>0.51147590739535231</v>
      </c>
      <c r="AA65" s="60">
        <f ca="1">IF(neural_net!AA$12,0,MMULT($O65:$S65,W$14:W$18))</f>
        <v>-1.714906960383225</v>
      </c>
      <c r="AB65" s="60">
        <f ca="1">IF(neural_net!AB$12,0,MMULT($O65:$S65,X$14:X$18))</f>
        <v>-0.89483024260580968</v>
      </c>
      <c r="AC65" s="58"/>
      <c r="AD65" s="60">
        <v>1</v>
      </c>
      <c r="AE65" s="60">
        <f t="shared" ca="1" si="27"/>
        <v>0.47109435652369969</v>
      </c>
      <c r="AF65" s="60">
        <f t="shared" ca="1" si="28"/>
        <v>-0.93724682581367691</v>
      </c>
      <c r="AG65" s="60">
        <f t="shared" ca="1" si="29"/>
        <v>-0.71377129194249878</v>
      </c>
      <c r="AH65" s="60">
        <f t="shared" ca="1" si="30"/>
        <v>0.80720602222119597</v>
      </c>
      <c r="AI65" s="60">
        <f t="shared" ca="1" si="31"/>
        <v>0.46131042581382387</v>
      </c>
      <c r="AJ65" s="60">
        <f t="shared" ca="1" si="32"/>
        <v>0.62418653638284449</v>
      </c>
      <c r="AK65" s="25"/>
      <c r="AL65" s="25"/>
      <c r="AM65" s="25"/>
      <c r="AN65" s="25"/>
      <c r="AP65" s="62">
        <f ca="1">IF(neural_net!AP$12,0,MMULT($AD65:$AG65,AM$14:AM$17))</f>
        <v>0.45448611518890325</v>
      </c>
      <c r="AQ65" s="62">
        <f ca="1">IF(neural_net!AQ$12,0,MMULT($AD65:$AG65,AN$14:AN$17))</f>
        <v>0.69243863927532368</v>
      </c>
      <c r="AR65" s="24"/>
      <c r="AS65" s="62">
        <v>1</v>
      </c>
      <c r="AT65" s="62">
        <f t="shared" ca="1" si="33"/>
        <v>0.45448611518890325</v>
      </c>
      <c r="AU65" s="62">
        <f t="shared" ca="1" si="34"/>
        <v>0.69243863927532368</v>
      </c>
      <c r="AV65" s="118">
        <f t="shared" ca="1" si="35"/>
        <v>1</v>
      </c>
      <c r="AW65" s="118">
        <f t="shared" ca="1" si="36"/>
        <v>1</v>
      </c>
      <c r="AX65" s="24"/>
      <c r="AY65" s="24"/>
      <c r="AZ65" s="24"/>
      <c r="BB65" s="65">
        <f t="shared" ca="1" si="37"/>
        <v>0.18246890897754448</v>
      </c>
      <c r="BC65" s="36"/>
      <c r="BD65" s="65">
        <f t="shared" ca="1" si="38"/>
        <v>0.54549107880902248</v>
      </c>
      <c r="BE65" s="65">
        <f t="shared" ca="1" si="39"/>
        <v>0.2479305617487913</v>
      </c>
      <c r="BF65" s="183">
        <f t="shared" ca="1" si="40"/>
        <v>8.8134354209133861E-2</v>
      </c>
      <c r="BG65" s="183">
        <f t="shared" ca="1" si="41"/>
        <v>0.54549107880902248</v>
      </c>
    </row>
    <row r="66" spans="2:59">
      <c r="B66" s="1">
        <v>53</v>
      </c>
      <c r="C66" s="6">
        <v>3.6451556559913829</v>
      </c>
      <c r="D66" s="6">
        <v>-2.1529664552312218</v>
      </c>
      <c r="E66" s="6">
        <v>-11.320709398207896</v>
      </c>
      <c r="F66" s="6">
        <v>4.1986854353529361</v>
      </c>
      <c r="G66" s="106">
        <f t="shared" si="15"/>
        <v>2.3404821451597505E-2</v>
      </c>
      <c r="I66" s="72">
        <v>0.60435722133571901</v>
      </c>
      <c r="J66" s="10">
        <f t="shared" si="24"/>
        <v>36</v>
      </c>
      <c r="K66" s="10">
        <f t="shared" si="25"/>
        <v>6</v>
      </c>
      <c r="L66" s="10">
        <f t="shared" si="26"/>
        <v>0</v>
      </c>
      <c r="M66" s="10"/>
      <c r="N66" s="182">
        <f t="shared" ca="1" si="16"/>
        <v>0.98278973776246292</v>
      </c>
      <c r="O66" s="11">
        <v>1</v>
      </c>
      <c r="P66" s="11">
        <f t="shared" ca="1" si="44"/>
        <v>0.22049140335729664</v>
      </c>
      <c r="Q66" s="11">
        <f t="shared" ca="1" si="44"/>
        <v>0.36597911583280673</v>
      </c>
      <c r="R66" s="11">
        <f t="shared" ca="1" si="44"/>
        <v>0.36866604276221693</v>
      </c>
      <c r="S66" s="11">
        <f t="shared" ca="1" si="44"/>
        <v>0.36059600219667332</v>
      </c>
      <c r="T66" s="10"/>
      <c r="U66" s="10"/>
      <c r="V66" s="10"/>
      <c r="W66" s="10"/>
      <c r="X66" s="10"/>
      <c r="Z66" s="60">
        <f ca="1">IF(neural_net!Z$12,0,MMULT($O66:$S66,V$14:V$18))</f>
        <v>0.48569511566436985</v>
      </c>
      <c r="AA66" s="60">
        <f ca="1">IF(neural_net!AA$12,0,MMULT($O66:$S66,W$14:W$18))</f>
        <v>-1.0049890551228366</v>
      </c>
      <c r="AB66" s="60">
        <f ca="1">IF(neural_net!AB$12,0,MMULT($O66:$S66,X$14:X$18))</f>
        <v>-0.88983968433404004</v>
      </c>
      <c r="AC66" s="58"/>
      <c r="AD66" s="60">
        <v>1</v>
      </c>
      <c r="AE66" s="60">
        <f t="shared" ca="1" si="27"/>
        <v>0.45079302728213672</v>
      </c>
      <c r="AF66" s="60">
        <f t="shared" ca="1" si="28"/>
        <v>-0.76368148269774649</v>
      </c>
      <c r="AG66" s="60">
        <f t="shared" ca="1" si="29"/>
        <v>-0.71131453984125448</v>
      </c>
      <c r="AH66" s="60">
        <f t="shared" ca="1" si="30"/>
        <v>0.82145094270286934</v>
      </c>
      <c r="AI66" s="60">
        <f t="shared" ca="1" si="31"/>
        <v>0.58624189869412491</v>
      </c>
      <c r="AJ66" s="60">
        <f t="shared" ca="1" si="32"/>
        <v>0.62606715727320161</v>
      </c>
      <c r="AK66" s="25"/>
      <c r="AL66" s="25"/>
      <c r="AM66" s="25"/>
      <c r="AN66" s="25"/>
      <c r="AP66" s="62">
        <f ca="1">IF(neural_net!AP$12,0,MMULT($AD66:$AG66,AM$14:AM$17))</f>
        <v>0.40386896876546174</v>
      </c>
      <c r="AQ66" s="62">
        <f ca="1">IF(neural_net!AQ$12,0,MMULT($AD66:$AG66,AN$14:AN$17))</f>
        <v>0.62135672829060107</v>
      </c>
      <c r="AR66" s="24"/>
      <c r="AS66" s="62">
        <v>1</v>
      </c>
      <c r="AT66" s="62">
        <f t="shared" ca="1" si="33"/>
        <v>0.40386896876546174</v>
      </c>
      <c r="AU66" s="62">
        <f t="shared" ca="1" si="34"/>
        <v>0.62135672829060107</v>
      </c>
      <c r="AV66" s="118">
        <f t="shared" ca="1" si="35"/>
        <v>1</v>
      </c>
      <c r="AW66" s="118">
        <f t="shared" ca="1" si="36"/>
        <v>1</v>
      </c>
      <c r="AX66" s="24"/>
      <c r="AY66" s="24"/>
      <c r="AZ66" s="24"/>
      <c r="BB66" s="65">
        <f t="shared" ca="1" si="37"/>
        <v>0.18883972385706269</v>
      </c>
      <c r="BC66" s="36"/>
      <c r="BD66" s="65">
        <f t="shared" ca="1" si="38"/>
        <v>0.54707013554539097</v>
      </c>
      <c r="BE66" s="65">
        <f t="shared" ca="1" si="39"/>
        <v>0.24778440233973853</v>
      </c>
      <c r="BF66" s="183">
        <f t="shared" ca="1" si="40"/>
        <v>0.98278973776246292</v>
      </c>
      <c r="BG66" s="183">
        <f t="shared" ca="1" si="41"/>
        <v>0.54707013554539097</v>
      </c>
    </row>
    <row r="67" spans="2:59">
      <c r="B67" s="1">
        <v>54</v>
      </c>
      <c r="C67" s="6">
        <v>-10.200170289707454</v>
      </c>
      <c r="D67" s="6">
        <v>-16.597574821539336</v>
      </c>
      <c r="E67" s="6">
        <v>-7.5407818911266933</v>
      </c>
      <c r="F67" s="6">
        <v>21.416898764359551</v>
      </c>
      <c r="G67" s="106">
        <f t="shared" si="15"/>
        <v>0.88285216674353006</v>
      </c>
      <c r="I67" s="72">
        <v>0.51373707003761881</v>
      </c>
      <c r="J67" s="10">
        <f t="shared" si="24"/>
        <v>47</v>
      </c>
      <c r="K67" s="10">
        <f t="shared" si="25"/>
        <v>6</v>
      </c>
      <c r="L67" s="10">
        <f t="shared" si="26"/>
        <v>0</v>
      </c>
      <c r="M67" s="10"/>
      <c r="N67" s="182">
        <f t="shared" ca="1" si="16"/>
        <v>0.99999999523561134</v>
      </c>
      <c r="O67" s="11">
        <v>1</v>
      </c>
      <c r="P67" s="11">
        <f t="shared" ca="1" si="44"/>
        <v>0.7731996271655236</v>
      </c>
      <c r="Q67" s="11">
        <f t="shared" ca="1" si="44"/>
        <v>0.54102468013479155</v>
      </c>
      <c r="R67" s="11">
        <f t="shared" ca="1" si="44"/>
        <v>0.3222932018955818</v>
      </c>
      <c r="S67" s="11">
        <f t="shared" ca="1" si="44"/>
        <v>0.53980919790273896</v>
      </c>
      <c r="T67" s="10"/>
      <c r="U67" s="10"/>
      <c r="V67" s="10"/>
      <c r="W67" s="10"/>
      <c r="X67" s="10"/>
      <c r="Z67" s="60">
        <f ca="1">IF(neural_net!Z$12,0,MMULT($O67:$S67,V$14:V$18))</f>
        <v>0.43635166802150238</v>
      </c>
      <c r="AA67" s="60">
        <f ca="1">IF(neural_net!AA$12,0,MMULT($O67:$S67,W$14:W$18))</f>
        <v>-1.7526695885821932</v>
      </c>
      <c r="AB67" s="60">
        <f ca="1">IF(neural_net!AB$12,0,MMULT($O67:$S67,X$14:X$18))</f>
        <v>-0.4602171926407822</v>
      </c>
      <c r="AC67" s="58"/>
      <c r="AD67" s="60">
        <v>1</v>
      </c>
      <c r="AE67" s="60">
        <f t="shared" ca="1" si="27"/>
        <v>0.41061578896166817</v>
      </c>
      <c r="AF67" s="60">
        <f t="shared" ca="1" si="28"/>
        <v>-0.94167860760948152</v>
      </c>
      <c r="AG67" s="60">
        <f t="shared" ca="1" si="29"/>
        <v>-0.43026121285576935</v>
      </c>
      <c r="AH67" s="60">
        <f t="shared" ca="1" si="30"/>
        <v>0.84868256732506386</v>
      </c>
      <c r="AI67" s="60">
        <f t="shared" ca="1" si="31"/>
        <v>0.45831498863178577</v>
      </c>
      <c r="AJ67" s="60">
        <f t="shared" ca="1" si="32"/>
        <v>0.83553764501316841</v>
      </c>
      <c r="AK67" s="25"/>
      <c r="AL67" s="25"/>
      <c r="AM67" s="25"/>
      <c r="AN67" s="25"/>
      <c r="AP67" s="62">
        <f ca="1">IF(neural_net!AP$12,0,MMULT($AD67:$AG67,AM$14:AM$17))</f>
        <v>0.82223045643561132</v>
      </c>
      <c r="AQ67" s="62">
        <f ca="1">IF(neural_net!AQ$12,0,MMULT($AD67:$AG67,AN$14:AN$17))</f>
        <v>0.37055686217798395</v>
      </c>
      <c r="AR67" s="24"/>
      <c r="AS67" s="62">
        <v>1</v>
      </c>
      <c r="AT67" s="62">
        <f t="shared" ca="1" si="33"/>
        <v>0.82223045643561132</v>
      </c>
      <c r="AU67" s="62">
        <f t="shared" ca="1" si="34"/>
        <v>0.37055686217798395</v>
      </c>
      <c r="AV67" s="118">
        <f t="shared" ca="1" si="35"/>
        <v>1</v>
      </c>
      <c r="AW67" s="118">
        <f t="shared" ca="1" si="36"/>
        <v>1</v>
      </c>
      <c r="AX67" s="24"/>
      <c r="AY67" s="24"/>
      <c r="AZ67" s="24"/>
      <c r="BB67" s="65">
        <f t="shared" ca="1" si="37"/>
        <v>-4.6862693428299712E-2</v>
      </c>
      <c r="BC67" s="36"/>
      <c r="BD67" s="65">
        <f t="shared" ca="1" si="38"/>
        <v>0.4882864702497714</v>
      </c>
      <c r="BE67" s="65">
        <f t="shared" ca="1" si="39"/>
        <v>0.24986279322079052</v>
      </c>
      <c r="BF67" s="183">
        <f t="shared" ca="1" si="40"/>
        <v>0.99999999523561134</v>
      </c>
      <c r="BG67" s="183">
        <f t="shared" ca="1" si="41"/>
        <v>0.4882864702497714</v>
      </c>
    </row>
    <row r="68" spans="2:59">
      <c r="B68" s="1">
        <v>55</v>
      </c>
      <c r="C68" s="6">
        <v>5.8790255032297303</v>
      </c>
      <c r="D68" s="6">
        <v>2.270189706764596</v>
      </c>
      <c r="E68" s="6">
        <v>10.646701576587127</v>
      </c>
      <c r="F68" s="6">
        <v>0.56770759129364512</v>
      </c>
      <c r="G68" s="106">
        <f t="shared" si="15"/>
        <v>0.16687540177808688</v>
      </c>
      <c r="I68" s="72">
        <v>0.71527909564989622</v>
      </c>
      <c r="J68" s="10">
        <f t="shared" si="24"/>
        <v>28</v>
      </c>
      <c r="K68" s="10">
        <f t="shared" si="25"/>
        <v>6</v>
      </c>
      <c r="L68" s="10">
        <f t="shared" si="26"/>
        <v>0</v>
      </c>
      <c r="M68" s="10"/>
      <c r="N68" s="182">
        <f t="shared" ca="1" si="16"/>
        <v>0.1079171664105333</v>
      </c>
      <c r="O68" s="11">
        <v>1</v>
      </c>
      <c r="P68" s="11">
        <f t="shared" ca="1" si="44"/>
        <v>0.45844446858047577</v>
      </c>
      <c r="Q68" s="11">
        <f t="shared" ca="1" si="44"/>
        <v>0.61805885925990656</v>
      </c>
      <c r="R68" s="11">
        <f t="shared" ca="1" si="44"/>
        <v>0.49171089227557296</v>
      </c>
      <c r="S68" s="11">
        <f t="shared" ca="1" si="44"/>
        <v>0.8434289761749667</v>
      </c>
      <c r="T68" s="10"/>
      <c r="U68" s="10"/>
      <c r="V68" s="10"/>
      <c r="W68" s="10"/>
      <c r="X68" s="10"/>
      <c r="Z68" s="60">
        <f ca="1">IF(neural_net!Z$12,0,MMULT($O68:$S68,V$14:V$18))</f>
        <v>0.40318206062219897</v>
      </c>
      <c r="AA68" s="60">
        <f ca="1">IF(neural_net!AA$12,0,MMULT($O68:$S68,W$14:W$18))</f>
        <v>-1.834956549309366</v>
      </c>
      <c r="AB68" s="60">
        <f ca="1">IF(neural_net!AB$12,0,MMULT($O68:$S68,X$14:X$18))</f>
        <v>-1.089832042316917</v>
      </c>
      <c r="AC68" s="58"/>
      <c r="AD68" s="60">
        <v>1</v>
      </c>
      <c r="AE68" s="60">
        <f t="shared" ca="1" si="27"/>
        <v>0.38266835975713315</v>
      </c>
      <c r="AF68" s="60">
        <f t="shared" ca="1" si="28"/>
        <v>-0.95030870093887976</v>
      </c>
      <c r="AG68" s="60">
        <f t="shared" ca="1" si="29"/>
        <v>-0.79681683392696168</v>
      </c>
      <c r="AH68" s="60">
        <f t="shared" ca="1" si="30"/>
        <v>0.86675854484561321</v>
      </c>
      <c r="AI68" s="60">
        <f t="shared" ca="1" si="31"/>
        <v>0.45251428737687427</v>
      </c>
      <c r="AJ68" s="60">
        <f t="shared" ca="1" si="32"/>
        <v>0.56142037941247336</v>
      </c>
      <c r="AK68" s="25"/>
      <c r="AL68" s="25"/>
      <c r="AM68" s="25"/>
      <c r="AN68" s="25"/>
      <c r="AP68" s="62">
        <f ca="1">IF(neural_net!AP$12,0,MMULT($AD68:$AG68,AM$14:AM$17))</f>
        <v>0.4316360708708743</v>
      </c>
      <c r="AQ68" s="62">
        <f ca="1">IF(neural_net!AQ$12,0,MMULT($AD68:$AG68,AN$14:AN$17))</f>
        <v>0.70897968152481605</v>
      </c>
      <c r="AR68" s="24"/>
      <c r="AS68" s="62">
        <v>1</v>
      </c>
      <c r="AT68" s="62">
        <f t="shared" ca="1" si="33"/>
        <v>0.4316360708708743</v>
      </c>
      <c r="AU68" s="62">
        <f t="shared" ca="1" si="34"/>
        <v>0.70897968152481605</v>
      </c>
      <c r="AV68" s="118">
        <f t="shared" ca="1" si="35"/>
        <v>1</v>
      </c>
      <c r="AW68" s="118">
        <f t="shared" ca="1" si="36"/>
        <v>1</v>
      </c>
      <c r="AX68" s="24"/>
      <c r="AY68" s="24"/>
      <c r="AZ68" s="24"/>
      <c r="BB68" s="65">
        <f t="shared" ca="1" si="37"/>
        <v>0.19596323750014677</v>
      </c>
      <c r="BC68" s="36"/>
      <c r="BD68" s="65">
        <f t="shared" ca="1" si="38"/>
        <v>0.54883463201042382</v>
      </c>
      <c r="BE68" s="65">
        <f t="shared" ca="1" si="39"/>
        <v>0.24761517871640648</v>
      </c>
      <c r="BF68" s="183">
        <f t="shared" ca="1" si="40"/>
        <v>0.1079171664105333</v>
      </c>
      <c r="BG68" s="183">
        <f t="shared" ca="1" si="41"/>
        <v>0.54883463201042382</v>
      </c>
    </row>
    <row r="69" spans="2:59">
      <c r="B69" s="1">
        <v>56</v>
      </c>
      <c r="C69" s="6">
        <v>5.294407242308198</v>
      </c>
      <c r="D69" s="6">
        <v>8.975799700739536</v>
      </c>
      <c r="E69" s="6">
        <v>-12.794041611422555</v>
      </c>
      <c r="F69" s="6">
        <v>-16.270557418335439</v>
      </c>
      <c r="G69" s="106">
        <f t="shared" si="15"/>
        <v>0.79841142770015294</v>
      </c>
      <c r="I69" s="72">
        <v>0.34784910023123206</v>
      </c>
      <c r="J69" s="10">
        <f t="shared" si="24"/>
        <v>64</v>
      </c>
      <c r="K69" s="10">
        <f t="shared" si="25"/>
        <v>6</v>
      </c>
      <c r="L69" s="10">
        <f t="shared" si="26"/>
        <v>0</v>
      </c>
      <c r="M69" s="10"/>
      <c r="N69" s="182">
        <f t="shared" ca="1" si="16"/>
        <v>0.58425981764876067</v>
      </c>
      <c r="O69" s="11">
        <v>1</v>
      </c>
      <c r="P69" s="11">
        <f t="shared" ca="1" si="44"/>
        <v>0.46255605753367257</v>
      </c>
      <c r="Q69" s="11">
        <f t="shared" ca="1" si="44"/>
        <v>0</v>
      </c>
      <c r="R69" s="11">
        <f t="shared" ca="1" si="44"/>
        <v>0.43162354038117501</v>
      </c>
      <c r="S69" s="11">
        <f t="shared" ca="1" si="44"/>
        <v>0.22305864334814127</v>
      </c>
      <c r="T69" s="10"/>
      <c r="U69" s="10"/>
      <c r="V69" s="10"/>
      <c r="W69" s="10"/>
      <c r="X69" s="10"/>
      <c r="Z69" s="60">
        <f ca="1">IF(neural_net!Z$12,0,MMULT($O69:$S69,V$14:V$18))</f>
        <v>0.30398579547700449</v>
      </c>
      <c r="AA69" s="60">
        <f ca="1">IF(neural_net!AA$12,0,MMULT($O69:$S69,W$14:W$18))</f>
        <v>-0.81482949695151474</v>
      </c>
      <c r="AB69" s="60">
        <f ca="1">IF(neural_net!AB$12,0,MMULT($O69:$S69,X$14:X$18))</f>
        <v>-0.71479927881322292</v>
      </c>
      <c r="AC69" s="58"/>
      <c r="AD69" s="60">
        <v>1</v>
      </c>
      <c r="AE69" s="60">
        <f t="shared" ca="1" si="27"/>
        <v>0.29495591164152346</v>
      </c>
      <c r="AF69" s="60">
        <f t="shared" ca="1" si="28"/>
        <v>-0.67224583800997006</v>
      </c>
      <c r="AG69" s="60">
        <f t="shared" ca="1" si="29"/>
        <v>-0.6136775173778678</v>
      </c>
      <c r="AH69" s="60">
        <f t="shared" ca="1" si="30"/>
        <v>0.9178089429739601</v>
      </c>
      <c r="AI69" s="60">
        <f t="shared" ca="1" si="31"/>
        <v>0.65607023850161372</v>
      </c>
      <c r="AJ69" s="60">
        <f t="shared" ca="1" si="32"/>
        <v>0.7011075018187638</v>
      </c>
      <c r="AK69" s="25"/>
      <c r="AL69" s="25"/>
      <c r="AM69" s="25"/>
      <c r="AN69" s="25"/>
      <c r="AP69" s="62">
        <f ca="1">IF(neural_net!AP$12,0,MMULT($AD69:$AG69,AM$14:AM$17))</f>
        <v>0.59454007282213883</v>
      </c>
      <c r="AQ69" s="62">
        <f ca="1">IF(neural_net!AQ$12,0,MMULT($AD69:$AG69,AN$14:AN$17))</f>
        <v>0.37766571410524608</v>
      </c>
      <c r="AR69" s="24"/>
      <c r="AS69" s="62">
        <v>1</v>
      </c>
      <c r="AT69" s="62">
        <f t="shared" ca="1" si="33"/>
        <v>0.59454007282213883</v>
      </c>
      <c r="AU69" s="62">
        <f t="shared" ca="1" si="34"/>
        <v>0.37766571410524608</v>
      </c>
      <c r="AV69" s="118">
        <f t="shared" ca="1" si="35"/>
        <v>1</v>
      </c>
      <c r="AW69" s="118">
        <f t="shared" ca="1" si="36"/>
        <v>1</v>
      </c>
      <c r="AX69" s="24"/>
      <c r="AY69" s="24"/>
      <c r="AZ69" s="24"/>
      <c r="BB69" s="65">
        <f t="shared" ca="1" si="37"/>
        <v>5.3164728922868401E-2</v>
      </c>
      <c r="BC69" s="36"/>
      <c r="BD69" s="65">
        <f t="shared" ca="1" si="38"/>
        <v>0.51328805250096055</v>
      </c>
      <c r="BE69" s="65">
        <f t="shared" ca="1" si="39"/>
        <v>0.24982342766073171</v>
      </c>
      <c r="BF69" s="183">
        <f t="shared" ca="1" si="40"/>
        <v>0.58425981764876067</v>
      </c>
      <c r="BG69" s="183">
        <f t="shared" ca="1" si="41"/>
        <v>0.51328805250096055</v>
      </c>
    </row>
    <row r="70" spans="2:59">
      <c r="B70" s="1">
        <v>57</v>
      </c>
      <c r="C70" s="6">
        <v>-4.548911465988672</v>
      </c>
      <c r="D70" s="6">
        <v>-4.3437223725344811</v>
      </c>
      <c r="E70" s="6">
        <v>-7.4713769851394209</v>
      </c>
      <c r="F70" s="6">
        <v>-18.748005623756566</v>
      </c>
      <c r="G70" s="106">
        <f t="shared" si="15"/>
        <v>0.94990573952917889</v>
      </c>
      <c r="I70" s="72">
        <v>0.45355268922790959</v>
      </c>
      <c r="J70" s="10">
        <f t="shared" si="24"/>
        <v>55</v>
      </c>
      <c r="K70" s="10">
        <f t="shared" si="25"/>
        <v>6</v>
      </c>
      <c r="L70" s="10">
        <f t="shared" si="26"/>
        <v>0</v>
      </c>
      <c r="M70" s="10"/>
      <c r="N70" s="182">
        <f t="shared" ca="1" si="16"/>
        <v>0.16687540177808688</v>
      </c>
      <c r="O70" s="11">
        <v>1</v>
      </c>
      <c r="P70" s="11">
        <f t="shared" ca="1" si="44"/>
        <v>0.71941340065400994</v>
      </c>
      <c r="Q70" s="11">
        <f t="shared" ca="1" si="44"/>
        <v>0.55687418325417037</v>
      </c>
      <c r="R70" s="11">
        <f t="shared" ca="1" si="44"/>
        <v>0.6728979304399112</v>
      </c>
      <c r="S70" s="11">
        <f t="shared" ca="1" si="44"/>
        <v>0.50616648670735342</v>
      </c>
      <c r="T70" s="10"/>
      <c r="U70" s="10"/>
      <c r="V70" s="10"/>
      <c r="W70" s="10"/>
      <c r="X70" s="10"/>
      <c r="Z70" s="60">
        <f ca="1">IF(neural_net!Z$12,0,MMULT($O70:$S70,V$14:V$18))</f>
        <v>0.49711670253713658</v>
      </c>
      <c r="AA70" s="60">
        <f ca="1">IF(neural_net!AA$12,0,MMULT($O70:$S70,W$14:W$18))</f>
        <v>-1.7921241018364973</v>
      </c>
      <c r="AB70" s="60">
        <f ca="1">IF(neural_net!AB$12,0,MMULT($O70:$S70,X$14:X$18))</f>
        <v>-0.74621151673543906</v>
      </c>
      <c r="AC70" s="58"/>
      <c r="AD70" s="60">
        <v>1</v>
      </c>
      <c r="AE70" s="60">
        <f t="shared" ca="1" si="27"/>
        <v>0.45984657542752777</v>
      </c>
      <c r="AF70" s="60">
        <f t="shared" ca="1" si="28"/>
        <v>-0.94598428706255921</v>
      </c>
      <c r="AG70" s="60">
        <f t="shared" ca="1" si="29"/>
        <v>-0.63288335628250469</v>
      </c>
      <c r="AH70" s="60">
        <f t="shared" ca="1" si="30"/>
        <v>0.81513512254257092</v>
      </c>
      <c r="AI70" s="60">
        <f t="shared" ca="1" si="31"/>
        <v>0.45541556019902674</v>
      </c>
      <c r="AJ70" s="60">
        <f t="shared" ca="1" si="32"/>
        <v>0.68636143110177161</v>
      </c>
      <c r="AK70" s="25"/>
      <c r="AL70" s="25"/>
      <c r="AM70" s="25"/>
      <c r="AN70" s="25"/>
      <c r="AP70" s="62">
        <f ca="1">IF(neural_net!AP$12,0,MMULT($AD70:$AG70,AM$14:AM$17))</f>
        <v>0.55787574822274044</v>
      </c>
      <c r="AQ70" s="62">
        <f ca="1">IF(neural_net!AQ$12,0,MMULT($AD70:$AG70,AN$14:AN$17))</f>
        <v>0.60753212383270627</v>
      </c>
      <c r="AR70" s="24"/>
      <c r="AS70" s="62">
        <v>1</v>
      </c>
      <c r="AT70" s="62">
        <f t="shared" ca="1" si="33"/>
        <v>0.55787574822274044</v>
      </c>
      <c r="AU70" s="62">
        <f t="shared" ca="1" si="34"/>
        <v>0.60753212383270627</v>
      </c>
      <c r="AV70" s="118">
        <f t="shared" ca="1" si="35"/>
        <v>1</v>
      </c>
      <c r="AW70" s="118">
        <f t="shared" ca="1" si="36"/>
        <v>1</v>
      </c>
      <c r="AX70" s="24"/>
      <c r="AY70" s="24"/>
      <c r="AZ70" s="24"/>
      <c r="BB70" s="65">
        <f t="shared" ca="1" si="37"/>
        <v>0.11921376796893471</v>
      </c>
      <c r="BC70" s="36"/>
      <c r="BD70" s="65">
        <f t="shared" ca="1" si="38"/>
        <v>0.52976819506679074</v>
      </c>
      <c r="BE70" s="65">
        <f t="shared" ca="1" si="39"/>
        <v>0.24911385456246549</v>
      </c>
      <c r="BF70" s="183">
        <f t="shared" ca="1" si="40"/>
        <v>0.16687540177808688</v>
      </c>
      <c r="BG70" s="183">
        <f t="shared" ca="1" si="41"/>
        <v>0.52976819506679074</v>
      </c>
    </row>
    <row r="71" spans="2:59">
      <c r="B71" s="1">
        <v>58</v>
      </c>
      <c r="C71" s="6">
        <v>9.5097759585947035</v>
      </c>
      <c r="D71" s="6">
        <v>16.722496836963444</v>
      </c>
      <c r="E71" s="6">
        <v>9.2724212526395728</v>
      </c>
      <c r="F71" s="6">
        <v>-8.5299548932097267</v>
      </c>
      <c r="G71" s="106">
        <f t="shared" si="15"/>
        <v>0.90461308094278858</v>
      </c>
      <c r="I71" s="72">
        <v>0.53761430605744109</v>
      </c>
      <c r="J71" s="10">
        <f t="shared" si="24"/>
        <v>45</v>
      </c>
      <c r="K71" s="10">
        <f t="shared" si="25"/>
        <v>6</v>
      </c>
      <c r="L71" s="10">
        <f t="shared" si="26"/>
        <v>0</v>
      </c>
      <c r="M71" s="10"/>
      <c r="N71" s="182">
        <f t="shared" ca="1" si="16"/>
        <v>1.8291032216823634E-2</v>
      </c>
      <c r="O71" s="11">
        <v>1</v>
      </c>
      <c r="P71" s="11">
        <f t="shared" ca="1" si="44"/>
        <v>0.95853879342886794</v>
      </c>
      <c r="Q71" s="11">
        <f t="shared" ca="1" si="44"/>
        <v>0.25452857972804271</v>
      </c>
      <c r="R71" s="11">
        <f t="shared" ca="1" si="44"/>
        <v>0.15685283098414693</v>
      </c>
      <c r="S71" s="11">
        <f t="shared" ca="1" si="44"/>
        <v>0.33669137488915402</v>
      </c>
      <c r="T71" s="10"/>
      <c r="U71" s="10"/>
      <c r="V71" s="10"/>
      <c r="W71" s="10"/>
      <c r="X71" s="10"/>
      <c r="Z71" s="60">
        <f ca="1">IF(neural_net!Z$12,0,MMULT($O71:$S71,V$14:V$18))</f>
        <v>0.31827867584725256</v>
      </c>
      <c r="AA71" s="60">
        <f ca="1">IF(neural_net!AA$12,0,MMULT($O71:$S71,W$14:W$18))</f>
        <v>-1.4645579182924815</v>
      </c>
      <c r="AB71" s="60">
        <f ca="1">IF(neural_net!AB$12,0,MMULT($O71:$S71,X$14:X$18))</f>
        <v>-8.5662303012484176E-2</v>
      </c>
      <c r="AC71" s="58"/>
      <c r="AD71" s="60">
        <v>1</v>
      </c>
      <c r="AE71" s="60">
        <f t="shared" ca="1" si="27"/>
        <v>0.30794966239556038</v>
      </c>
      <c r="AF71" s="60">
        <f t="shared" ca="1" si="28"/>
        <v>-0.89853422299534291</v>
      </c>
      <c r="AG71" s="60">
        <f t="shared" ca="1" si="29"/>
        <v>-8.5453385354407593E-2</v>
      </c>
      <c r="AH71" s="60">
        <f t="shared" ca="1" si="30"/>
        <v>0.91085554847998229</v>
      </c>
      <c r="AI71" s="60">
        <f t="shared" ca="1" si="31"/>
        <v>0.48794038576221366</v>
      </c>
      <c r="AJ71" s="60">
        <f t="shared" ca="1" si="32"/>
        <v>0.99273312126185143</v>
      </c>
      <c r="AK71" s="25"/>
      <c r="AL71" s="25"/>
      <c r="AM71" s="25"/>
      <c r="AN71" s="25"/>
      <c r="AP71" s="62">
        <f ca="1">IF(neural_net!AP$12,0,MMULT($AD71:$AG71,AM$14:AM$17))</f>
        <v>1.2720390787005136</v>
      </c>
      <c r="AQ71" s="62">
        <f ca="1">IF(neural_net!AQ$12,0,MMULT($AD71:$AG71,AN$14:AN$17))</f>
        <v>-5.8258564156948162E-2</v>
      </c>
      <c r="AR71" s="24"/>
      <c r="AS71" s="62">
        <v>1</v>
      </c>
      <c r="AT71" s="62">
        <f t="shared" ca="1" si="33"/>
        <v>1.2720390787005136</v>
      </c>
      <c r="AU71" s="62">
        <f t="shared" ca="1" si="34"/>
        <v>0</v>
      </c>
      <c r="AV71" s="118">
        <f t="shared" ca="1" si="35"/>
        <v>1</v>
      </c>
      <c r="AW71" s="118">
        <f t="shared" ca="1" si="36"/>
        <v>0</v>
      </c>
      <c r="AX71" s="24"/>
      <c r="AY71" s="24"/>
      <c r="AZ71" s="24"/>
      <c r="BB71" s="65">
        <f t="shared" ca="1" si="37"/>
        <v>-0.32231508975255907</v>
      </c>
      <c r="BC71" s="36"/>
      <c r="BD71" s="65">
        <f t="shared" ca="1" si="38"/>
        <v>0.4201116465830344</v>
      </c>
      <c r="BE71" s="65">
        <f t="shared" ca="1" si="39"/>
        <v>0.24361785098832603</v>
      </c>
      <c r="BF71" s="183">
        <f t="shared" ca="1" si="40"/>
        <v>1.8291032216823634E-2</v>
      </c>
      <c r="BG71" s="183">
        <f t="shared" ca="1" si="41"/>
        <v>0.4201116465830344</v>
      </c>
    </row>
    <row r="72" spans="2:59">
      <c r="B72" s="1">
        <v>59</v>
      </c>
      <c r="C72" s="6">
        <v>-6.225570323350186</v>
      </c>
      <c r="D72" s="6">
        <v>-2.2055493552796341</v>
      </c>
      <c r="E72" s="6">
        <v>8.5180541067933753</v>
      </c>
      <c r="F72" s="6">
        <v>-2.2432441506957259</v>
      </c>
      <c r="G72" s="106">
        <f t="shared" si="15"/>
        <v>0.99996853664697427</v>
      </c>
      <c r="I72" s="72">
        <v>0.25058125648182195</v>
      </c>
      <c r="J72" s="10">
        <f t="shared" si="24"/>
        <v>74</v>
      </c>
      <c r="K72" s="10">
        <f t="shared" si="25"/>
        <v>6</v>
      </c>
      <c r="L72" s="10">
        <f t="shared" si="26"/>
        <v>0</v>
      </c>
      <c r="M72" s="10"/>
      <c r="N72" s="182">
        <f t="shared" ca="1" si="16"/>
        <v>1.3070884007863505E-5</v>
      </c>
      <c r="O72" s="11">
        <v>1</v>
      </c>
      <c r="P72" s="11">
        <f t="shared" ca="1" si="44"/>
        <v>0</v>
      </c>
      <c r="Q72" s="11">
        <f t="shared" ca="1" si="44"/>
        <v>0.62679313020099592</v>
      </c>
      <c r="R72" s="11">
        <f t="shared" ca="1" si="44"/>
        <v>0.62252048582945774</v>
      </c>
      <c r="S72" s="11">
        <f t="shared" ca="1" si="44"/>
        <v>0.57577765444446372</v>
      </c>
      <c r="T72" s="10"/>
      <c r="U72" s="10"/>
      <c r="V72" s="10"/>
      <c r="W72" s="10"/>
      <c r="X72" s="10"/>
      <c r="Z72" s="60">
        <f ca="1">IF(neural_net!Z$12,0,MMULT($O72:$S72,V$14:V$18))</f>
        <v>0.59526040626227927</v>
      </c>
      <c r="AA72" s="60">
        <f ca="1">IF(neural_net!AA$12,0,MMULT($O72:$S72,W$14:W$18))</f>
        <v>-1.2759182651135952</v>
      </c>
      <c r="AB72" s="60">
        <f ca="1">IF(neural_net!AB$12,0,MMULT($O72:$S72,X$14:X$18))</f>
        <v>-1.380126489238366</v>
      </c>
      <c r="AC72" s="58"/>
      <c r="AD72" s="60">
        <v>1</v>
      </c>
      <c r="AE72" s="60">
        <f t="shared" ca="1" si="27"/>
        <v>0.53366839638772812</v>
      </c>
      <c r="AF72" s="60">
        <f t="shared" ca="1" si="28"/>
        <v>-0.85539359506027102</v>
      </c>
      <c r="AG72" s="60">
        <f t="shared" ca="1" si="29"/>
        <v>-0.88097958897643391</v>
      </c>
      <c r="AH72" s="60">
        <f t="shared" ca="1" si="30"/>
        <v>0.76168005792238014</v>
      </c>
      <c r="AI72" s="60">
        <f t="shared" ca="1" si="31"/>
        <v>0.51853510151077364</v>
      </c>
      <c r="AJ72" s="60">
        <f t="shared" ca="1" si="32"/>
        <v>0.5002786374822481</v>
      </c>
      <c r="AK72" s="25"/>
      <c r="AL72" s="25"/>
      <c r="AM72" s="25"/>
      <c r="AN72" s="25"/>
      <c r="AP72" s="62">
        <f ca="1">IF(neural_net!AP$12,0,MMULT($AD72:$AG72,AM$14:AM$17))</f>
        <v>0.1862290192668159</v>
      </c>
      <c r="AQ72" s="62">
        <f ca="1">IF(neural_net!AQ$12,0,MMULT($AD72:$AG72,AN$14:AN$17))</f>
        <v>0.87890907080639047</v>
      </c>
      <c r="AR72" s="24"/>
      <c r="AS72" s="62">
        <v>1</v>
      </c>
      <c r="AT72" s="62">
        <f t="shared" ca="1" si="33"/>
        <v>0.1862290192668159</v>
      </c>
      <c r="AU72" s="62">
        <f t="shared" ca="1" si="34"/>
        <v>0.87890907080639047</v>
      </c>
      <c r="AV72" s="118">
        <f t="shared" ca="1" si="35"/>
        <v>1</v>
      </c>
      <c r="AW72" s="118">
        <f t="shared" ca="1" si="36"/>
        <v>1</v>
      </c>
      <c r="AX72" s="24"/>
      <c r="AY72" s="24"/>
      <c r="AZ72" s="24"/>
      <c r="BB72" s="65">
        <f t="shared" ca="1" si="37"/>
        <v>0.33920529071397498</v>
      </c>
      <c r="BC72" s="36"/>
      <c r="BD72" s="65">
        <f t="shared" ca="1" si="38"/>
        <v>0.58399746564168675</v>
      </c>
      <c r="BE72" s="65">
        <f t="shared" ca="1" si="39"/>
        <v>0.24294442576577366</v>
      </c>
      <c r="BF72" s="183">
        <f t="shared" ca="1" si="40"/>
        <v>1.3070884007863505E-5</v>
      </c>
      <c r="BG72" s="183">
        <f t="shared" ca="1" si="41"/>
        <v>0.58399746564168675</v>
      </c>
    </row>
    <row r="73" spans="2:59">
      <c r="B73" s="1">
        <v>60</v>
      </c>
      <c r="C73" s="6">
        <v>14.125142273488775</v>
      </c>
      <c r="D73" s="6">
        <v>-20.580599664062436</v>
      </c>
      <c r="E73" s="6">
        <v>3.1449473422322036</v>
      </c>
      <c r="F73" s="6">
        <v>-1.0402042589783269</v>
      </c>
      <c r="G73" s="106">
        <f t="shared" si="15"/>
        <v>0.36649067727779833</v>
      </c>
      <c r="I73" s="72">
        <v>0.16456845388588648</v>
      </c>
      <c r="J73" s="10">
        <f t="shared" si="24"/>
        <v>80</v>
      </c>
      <c r="K73" s="10">
        <f t="shared" si="25"/>
        <v>6</v>
      </c>
      <c r="L73" s="10">
        <f t="shared" si="26"/>
        <v>0</v>
      </c>
      <c r="M73" s="10"/>
      <c r="N73" s="182">
        <f t="shared" ca="1" si="16"/>
        <v>0.98105175135668654</v>
      </c>
      <c r="O73" s="11">
        <v>1</v>
      </c>
      <c r="P73" s="11">
        <f t="shared" ca="1" si="44"/>
        <v>0.77734294633946133</v>
      </c>
      <c r="Q73" s="11">
        <f t="shared" ca="1" si="44"/>
        <v>0.64863692785128479</v>
      </c>
      <c r="R73" s="11">
        <f t="shared" ca="1" si="44"/>
        <v>0.23565338187109591</v>
      </c>
      <c r="S73" s="11">
        <f t="shared" ca="1" si="44"/>
        <v>0.65118706830369222</v>
      </c>
      <c r="T73" s="10"/>
      <c r="U73" s="10"/>
      <c r="V73" s="10"/>
      <c r="W73" s="10"/>
      <c r="X73" s="10"/>
      <c r="Z73" s="60">
        <f ca="1">IF(neural_net!Z$12,0,MMULT($O73:$S73,V$14:V$18))</f>
        <v>0.44328200219433889</v>
      </c>
      <c r="AA73" s="60">
        <f ca="1">IF(neural_net!AA$12,0,MMULT($O73:$S73,W$14:W$18))</f>
        <v>-1.9097564593242657</v>
      </c>
      <c r="AB73" s="60">
        <f ca="1">IF(neural_net!AB$12,0,MMULT($O73:$S73,X$14:X$18))</f>
        <v>-0.44923535551784</v>
      </c>
      <c r="AC73" s="58"/>
      <c r="AD73" s="60">
        <v>1</v>
      </c>
      <c r="AE73" s="60">
        <f t="shared" ca="1" si="27"/>
        <v>0.41636119018343831</v>
      </c>
      <c r="AF73" s="60">
        <f t="shared" ca="1" si="28"/>
        <v>-0.95706496142443864</v>
      </c>
      <c r="AG73" s="60">
        <f t="shared" ca="1" si="29"/>
        <v>-0.42127026383447247</v>
      </c>
      <c r="AH73" s="60">
        <f t="shared" ca="1" si="30"/>
        <v>0.84487389875725238</v>
      </c>
      <c r="AI73" s="60">
        <f t="shared" ca="1" si="31"/>
        <v>0.44800326831698767</v>
      </c>
      <c r="AJ73" s="60">
        <f t="shared" ca="1" si="32"/>
        <v>0.84159598319060414</v>
      </c>
      <c r="AK73" s="25"/>
      <c r="AL73" s="25"/>
      <c r="AM73" s="25"/>
      <c r="AN73" s="25"/>
      <c r="AP73" s="62">
        <f ca="1">IF(neural_net!AP$12,0,MMULT($AD73:$AG73,AM$14:AM$17))</f>
        <v>0.83419563135797326</v>
      </c>
      <c r="AQ73" s="62">
        <f ca="1">IF(neural_net!AQ$12,0,MMULT($AD73:$AG73,AN$14:AN$17))</f>
        <v>0.3709321495906146</v>
      </c>
      <c r="AR73" s="24"/>
      <c r="AS73" s="62">
        <v>1</v>
      </c>
      <c r="AT73" s="62">
        <f t="shared" ca="1" si="33"/>
        <v>0.83419563135797326</v>
      </c>
      <c r="AU73" s="62">
        <f t="shared" ca="1" si="34"/>
        <v>0.3709321495906146</v>
      </c>
      <c r="AV73" s="118">
        <f t="shared" ca="1" si="35"/>
        <v>1</v>
      </c>
      <c r="AW73" s="118">
        <f t="shared" ca="1" si="36"/>
        <v>1</v>
      </c>
      <c r="AX73" s="24"/>
      <c r="AY73" s="24"/>
      <c r="AZ73" s="24"/>
      <c r="BB73" s="65">
        <f t="shared" ca="1" si="37"/>
        <v>-5.1955639258255332E-2</v>
      </c>
      <c r="BC73" s="36"/>
      <c r="BD73" s="65">
        <f t="shared" ca="1" si="38"/>
        <v>0.4870140112396944</v>
      </c>
      <c r="BE73" s="65">
        <f t="shared" ca="1" si="39"/>
        <v>0.24983136409591725</v>
      </c>
      <c r="BF73" s="183">
        <f t="shared" ca="1" si="40"/>
        <v>0.98105175135668654</v>
      </c>
      <c r="BG73" s="183">
        <f t="shared" ca="1" si="41"/>
        <v>0.4870140112396944</v>
      </c>
    </row>
    <row r="74" spans="2:59">
      <c r="B74" s="1">
        <v>61</v>
      </c>
      <c r="C74" s="6">
        <v>-9.9270944959479088</v>
      </c>
      <c r="D74" s="6">
        <v>8.9920459052048649</v>
      </c>
      <c r="E74" s="6">
        <v>5.3846828169362499</v>
      </c>
      <c r="F74" s="6">
        <v>3.5000438562754161</v>
      </c>
      <c r="G74" s="106">
        <f t="shared" si="15"/>
        <v>1.6606921789556417E-2</v>
      </c>
      <c r="I74" s="72">
        <v>0.22982758691592753</v>
      </c>
      <c r="J74" s="10">
        <f t="shared" si="24"/>
        <v>75</v>
      </c>
      <c r="K74" s="10">
        <f t="shared" si="25"/>
        <v>7</v>
      </c>
      <c r="L74" s="10">
        <f t="shared" si="26"/>
        <v>0</v>
      </c>
      <c r="M74" s="10"/>
      <c r="N74" s="182">
        <f t="shared" ca="1" si="16"/>
        <v>0.70353443379002323</v>
      </c>
      <c r="O74" s="11">
        <v>1</v>
      </c>
      <c r="P74" s="11">
        <f t="shared" ref="P74:S93" ca="1" si="45">(INDEX(INDIRECT(P$13),$J74,1)-MIN(INDIRECT(P$13)))/(MAX(INDIRECT(P$13))-MIN(INDIRECT(P$13)))</f>
        <v>0.61327059810221674</v>
      </c>
      <c r="Q74" s="11">
        <f t="shared" ca="1" si="45"/>
        <v>0.73950824133790971</v>
      </c>
      <c r="R74" s="11">
        <f t="shared" ca="1" si="45"/>
        <v>0.59467806986717997</v>
      </c>
      <c r="S74" s="11">
        <f t="shared" ca="1" si="45"/>
        <v>0.30278336115643162</v>
      </c>
      <c r="T74" s="10"/>
      <c r="U74" s="10"/>
      <c r="V74" s="10"/>
      <c r="W74" s="10"/>
      <c r="X74" s="10"/>
      <c r="Z74" s="60">
        <f ca="1">IF(neural_net!Z$12,0,MMULT($O74:$S74,V$14:V$18))</f>
        <v>0.70130647800496693</v>
      </c>
      <c r="AA74" s="60">
        <f ca="1">IF(neural_net!AA$12,0,MMULT($O74:$S74,W$14:W$18))</f>
        <v>-1.6719539709879172</v>
      </c>
      <c r="AB74" s="60">
        <f ca="1">IF(neural_net!AB$12,0,MMULT($O74:$S74,X$14:X$18))</f>
        <v>-0.56774639420421025</v>
      </c>
      <c r="AC74" s="58"/>
      <c r="AD74" s="60">
        <v>1</v>
      </c>
      <c r="AE74" s="60">
        <f t="shared" ca="1" si="27"/>
        <v>0.60519639568731054</v>
      </c>
      <c r="AF74" s="60">
        <f t="shared" ca="1" si="28"/>
        <v>-0.9318095522648373</v>
      </c>
      <c r="AG74" s="60">
        <f t="shared" ca="1" si="29"/>
        <v>-0.51370229742110685</v>
      </c>
      <c r="AH74" s="60">
        <f t="shared" ca="1" si="30"/>
        <v>0.70760362319978665</v>
      </c>
      <c r="AI74" s="60">
        <f t="shared" ca="1" si="31"/>
        <v>0.46500071455246916</v>
      </c>
      <c r="AJ74" s="60">
        <f t="shared" ca="1" si="32"/>
        <v>0.77643668372403707</v>
      </c>
      <c r="AK74" s="25"/>
      <c r="AL74" s="25"/>
      <c r="AM74" s="25"/>
      <c r="AN74" s="25"/>
      <c r="AP74" s="62">
        <f ca="1">IF(neural_net!AP$12,0,MMULT($AD74:$AG74,AM$14:AM$17))</f>
        <v>0.57870915880745022</v>
      </c>
      <c r="AQ74" s="62">
        <f ca="1">IF(neural_net!AQ$12,0,MMULT($AD74:$AG74,AN$14:AN$17))</f>
        <v>0.59946230910338538</v>
      </c>
      <c r="AR74" s="24"/>
      <c r="AS74" s="62">
        <v>1</v>
      </c>
      <c r="AT74" s="62">
        <f t="shared" ca="1" si="33"/>
        <v>0.57870915880745022</v>
      </c>
      <c r="AU74" s="62">
        <f t="shared" ca="1" si="34"/>
        <v>0.59946230910338538</v>
      </c>
      <c r="AV74" s="118">
        <f t="shared" ca="1" si="35"/>
        <v>1</v>
      </c>
      <c r="AW74" s="118">
        <f t="shared" ca="1" si="36"/>
        <v>1</v>
      </c>
      <c r="AX74" s="24"/>
      <c r="AY74" s="24"/>
      <c r="AZ74" s="24"/>
      <c r="BB74" s="65">
        <f t="shared" ca="1" si="37"/>
        <v>0.10844133772858211</v>
      </c>
      <c r="BC74" s="36"/>
      <c r="BD74" s="65">
        <f t="shared" ca="1" si="38"/>
        <v>0.52708379858484811</v>
      </c>
      <c r="BE74" s="65">
        <f t="shared" ca="1" si="39"/>
        <v>0.24926646785421538</v>
      </c>
      <c r="BF74" s="183">
        <f t="shared" ca="1" si="40"/>
        <v>0.70353443379002323</v>
      </c>
      <c r="BG74" s="183">
        <f t="shared" ca="1" si="41"/>
        <v>0.52708379858484811</v>
      </c>
    </row>
    <row r="75" spans="2:59">
      <c r="B75" s="1">
        <v>62</v>
      </c>
      <c r="C75" s="6">
        <v>3.260380639783004</v>
      </c>
      <c r="D75" s="6">
        <v>-16.89204416181456</v>
      </c>
      <c r="E75" s="6">
        <v>-8.9367825598112614</v>
      </c>
      <c r="F75" s="6">
        <v>-6.3438368292935587</v>
      </c>
      <c r="G75" s="106">
        <f t="shared" si="15"/>
        <v>0.21697105721113558</v>
      </c>
      <c r="I75" s="72">
        <v>0.60884643624216872</v>
      </c>
      <c r="J75" s="10">
        <f t="shared" si="24"/>
        <v>35</v>
      </c>
      <c r="K75" s="10">
        <f t="shared" si="25"/>
        <v>7</v>
      </c>
      <c r="L75" s="10">
        <f t="shared" si="26"/>
        <v>0</v>
      </c>
      <c r="M75" s="10"/>
      <c r="N75" s="182">
        <f t="shared" ca="1" si="16"/>
        <v>7.6465406790131047E-3</v>
      </c>
      <c r="O75" s="11">
        <v>1</v>
      </c>
      <c r="P75" s="11">
        <f t="shared" ca="1" si="45"/>
        <v>0.23135603509683927</v>
      </c>
      <c r="Q75" s="11">
        <f t="shared" ca="1" si="45"/>
        <v>0.67081871722394171</v>
      </c>
      <c r="R75" s="11">
        <f t="shared" ca="1" si="45"/>
        <v>0.26381539858184511</v>
      </c>
      <c r="S75" s="11">
        <f t="shared" ca="1" si="45"/>
        <v>0.32649349590269933</v>
      </c>
      <c r="T75" s="10"/>
      <c r="U75" s="10"/>
      <c r="V75" s="10"/>
      <c r="W75" s="10"/>
      <c r="X75" s="10"/>
      <c r="Z75" s="60">
        <f ca="1">IF(neural_net!Z$12,0,MMULT($O75:$S75,V$14:V$18))</f>
        <v>0.67077381001010516</v>
      </c>
      <c r="AA75" s="60">
        <f ca="1">IF(neural_net!AA$12,0,MMULT($O75:$S75,W$14:W$18))</f>
        <v>-1.2132240333790201</v>
      </c>
      <c r="AB75" s="60">
        <f ca="1">IF(neural_net!AB$12,0,MMULT($O75:$S75,X$14:X$18))</f>
        <v>-0.68887038553704771</v>
      </c>
      <c r="AC75" s="58"/>
      <c r="AD75" s="60">
        <v>1</v>
      </c>
      <c r="AE75" s="60">
        <f t="shared" ca="1" si="27"/>
        <v>0.58548866356511398</v>
      </c>
      <c r="AF75" s="60">
        <f t="shared" ca="1" si="28"/>
        <v>-0.83764398902836545</v>
      </c>
      <c r="AG75" s="60">
        <f t="shared" ca="1" si="29"/>
        <v>-0.59725582615510564</v>
      </c>
      <c r="AH75" s="60">
        <f t="shared" ca="1" si="30"/>
        <v>0.72264688351113016</v>
      </c>
      <c r="AI75" s="60">
        <f t="shared" ca="1" si="31"/>
        <v>0.53137877532981581</v>
      </c>
      <c r="AJ75" s="60">
        <f t="shared" ca="1" si="32"/>
        <v>0.7136744146034657</v>
      </c>
      <c r="AK75" s="25"/>
      <c r="AL75" s="25"/>
      <c r="AM75" s="25"/>
      <c r="AN75" s="25"/>
      <c r="AP75" s="62">
        <f ca="1">IF(neural_net!AP$12,0,MMULT($AD75:$AG75,AM$14:AM$17))</f>
        <v>0.46166253736360807</v>
      </c>
      <c r="AQ75" s="62">
        <f ca="1">IF(neural_net!AQ$12,0,MMULT($AD75:$AG75,AN$14:AN$17))</f>
        <v>0.63694030227610021</v>
      </c>
      <c r="AR75" s="24"/>
      <c r="AS75" s="62">
        <v>1</v>
      </c>
      <c r="AT75" s="62">
        <f t="shared" ca="1" si="33"/>
        <v>0.46166253736360807</v>
      </c>
      <c r="AU75" s="62">
        <f t="shared" ca="1" si="34"/>
        <v>0.63694030227610021</v>
      </c>
      <c r="AV75" s="118">
        <f t="shared" ca="1" si="35"/>
        <v>1</v>
      </c>
      <c r="AW75" s="118">
        <f t="shared" ca="1" si="36"/>
        <v>1</v>
      </c>
      <c r="AX75" s="24"/>
      <c r="AY75" s="24"/>
      <c r="AZ75" s="24"/>
      <c r="BB75" s="65">
        <f t="shared" ca="1" si="37"/>
        <v>0.16724694415825406</v>
      </c>
      <c r="BC75" s="36"/>
      <c r="BD75" s="65">
        <f t="shared" ca="1" si="38"/>
        <v>0.54171454633002591</v>
      </c>
      <c r="BE75" s="65">
        <f t="shared" ca="1" si="39"/>
        <v>0.24825989662448011</v>
      </c>
      <c r="BF75" s="183">
        <f t="shared" ca="1" si="40"/>
        <v>7.6465406790131047E-3</v>
      </c>
      <c r="BG75" s="183">
        <f t="shared" ca="1" si="41"/>
        <v>0.54171454633002591</v>
      </c>
    </row>
    <row r="76" spans="2:59">
      <c r="B76" s="1">
        <v>63</v>
      </c>
      <c r="C76" s="6">
        <v>-6.9234661026381943</v>
      </c>
      <c r="D76" s="6">
        <v>9.4435085043636153</v>
      </c>
      <c r="E76" s="6">
        <v>2.2198116400697527</v>
      </c>
      <c r="F76" s="6">
        <v>-8.8777346785867586</v>
      </c>
      <c r="G76" s="106">
        <f t="shared" si="15"/>
        <v>0.11160849923859056</v>
      </c>
      <c r="I76" s="72">
        <v>5.6471135897561142E-3</v>
      </c>
      <c r="J76" s="10">
        <f t="shared" si="24"/>
        <v>99</v>
      </c>
      <c r="K76" s="10">
        <f t="shared" si="25"/>
        <v>7</v>
      </c>
      <c r="L76" s="10">
        <f t="shared" si="26"/>
        <v>0</v>
      </c>
      <c r="M76" s="10"/>
      <c r="N76" s="182">
        <f t="shared" ca="1" si="16"/>
        <v>0.97221862750432075</v>
      </c>
      <c r="O76" s="11">
        <v>1</v>
      </c>
      <c r="P76" s="11">
        <f t="shared" ca="1" si="45"/>
        <v>0.43910064425149958</v>
      </c>
      <c r="Q76" s="11">
        <f t="shared" ca="1" si="45"/>
        <v>0.46908586074916497</v>
      </c>
      <c r="R76" s="11">
        <f t="shared" ca="1" si="45"/>
        <v>0.15223695834949547</v>
      </c>
      <c r="S76" s="11">
        <f t="shared" ca="1" si="45"/>
        <v>0.37318886216017816</v>
      </c>
      <c r="T76" s="10"/>
      <c r="U76" s="10"/>
      <c r="V76" s="10"/>
      <c r="W76" s="10"/>
      <c r="X76" s="10"/>
      <c r="Z76" s="60">
        <f ca="1">IF(neural_net!Z$12,0,MMULT($O76:$S76,V$14:V$18))</f>
        <v>0.49497633571121347</v>
      </c>
      <c r="AA76" s="60">
        <f ca="1">IF(neural_net!AA$12,0,MMULT($O76:$S76,W$14:W$18))</f>
        <v>-1.2273666856332002</v>
      </c>
      <c r="AB76" s="60">
        <f ca="1">IF(neural_net!AB$12,0,MMULT($O76:$S76,X$14:X$18))</f>
        <v>-0.5118452158234863</v>
      </c>
      <c r="AC76" s="58"/>
      <c r="AD76" s="60">
        <v>1</v>
      </c>
      <c r="AE76" s="60">
        <f t="shared" ca="1" si="27"/>
        <v>0.45815714793541246</v>
      </c>
      <c r="AF76" s="60">
        <f t="shared" ca="1" si="28"/>
        <v>-0.84181380954358309</v>
      </c>
      <c r="AG76" s="60">
        <f t="shared" ca="1" si="29"/>
        <v>-0.47138165437509916</v>
      </c>
      <c r="AH76" s="60">
        <f t="shared" ca="1" si="30"/>
        <v>0.81631828659751871</v>
      </c>
      <c r="AI76" s="60">
        <f t="shared" ca="1" si="31"/>
        <v>0.52834891652909144</v>
      </c>
      <c r="AJ76" s="60">
        <f t="shared" ca="1" si="32"/>
        <v>0.80700233988604664</v>
      </c>
      <c r="AK76" s="25"/>
      <c r="AL76" s="25"/>
      <c r="AM76" s="25"/>
      <c r="AN76" s="25"/>
      <c r="AP76" s="62">
        <f ca="1">IF(neural_net!AP$12,0,MMULT($AD76:$AG76,AM$14:AM$17))</f>
        <v>0.70077902789108992</v>
      </c>
      <c r="AQ76" s="62">
        <f ca="1">IF(neural_net!AQ$12,0,MMULT($AD76:$AG76,AN$14:AN$17))</f>
        <v>0.41695490107512223</v>
      </c>
      <c r="AR76" s="24"/>
      <c r="AS76" s="62">
        <v>1</v>
      </c>
      <c r="AT76" s="62">
        <f t="shared" ca="1" si="33"/>
        <v>0.70077902789108992</v>
      </c>
      <c r="AU76" s="62">
        <f t="shared" ca="1" si="34"/>
        <v>0.41695490107512223</v>
      </c>
      <c r="AV76" s="118">
        <f t="shared" ca="1" si="35"/>
        <v>1</v>
      </c>
      <c r="AW76" s="118">
        <f t="shared" ca="1" si="36"/>
        <v>1</v>
      </c>
      <c r="AX76" s="24"/>
      <c r="AY76" s="24"/>
      <c r="AZ76" s="24"/>
      <c r="BB76" s="65">
        <f t="shared" ca="1" si="37"/>
        <v>1.5795687291524224E-2</v>
      </c>
      <c r="BC76" s="36"/>
      <c r="BD76" s="65">
        <f t="shared" ca="1" si="38"/>
        <v>0.50394883971903359</v>
      </c>
      <c r="BE76" s="65">
        <f t="shared" ca="1" si="39"/>
        <v>0.24998440666487337</v>
      </c>
      <c r="BF76" s="183">
        <f t="shared" ca="1" si="40"/>
        <v>0.97221862750432075</v>
      </c>
      <c r="BG76" s="183">
        <f t="shared" ca="1" si="41"/>
        <v>0.50394883971903359</v>
      </c>
    </row>
    <row r="77" spans="2:59">
      <c r="B77" s="1">
        <v>64</v>
      </c>
      <c r="C77" s="6">
        <v>-3.8230043875556801</v>
      </c>
      <c r="D77" s="6">
        <v>-30.163665113624482</v>
      </c>
      <c r="E77" s="6">
        <v>-0.91073961856463415</v>
      </c>
      <c r="F77" s="6">
        <v>-11.401107438363603</v>
      </c>
      <c r="G77" s="106">
        <f t="shared" si="15"/>
        <v>0.58425981764876067</v>
      </c>
      <c r="I77" s="72">
        <v>0.22343179323973439</v>
      </c>
      <c r="J77" s="10">
        <f t="shared" si="24"/>
        <v>76</v>
      </c>
      <c r="K77" s="10">
        <f t="shared" si="25"/>
        <v>7</v>
      </c>
      <c r="L77" s="10">
        <f t="shared" si="26"/>
        <v>0</v>
      </c>
      <c r="M77" s="10"/>
      <c r="N77" s="182">
        <f t="shared" ca="1" si="16"/>
        <v>0.99943757266598543</v>
      </c>
      <c r="O77" s="11">
        <v>1</v>
      </c>
      <c r="P77" s="11">
        <f t="shared" ca="1" si="45"/>
        <v>0.27267465837124732</v>
      </c>
      <c r="Q77" s="11">
        <f t="shared" ca="1" si="45"/>
        <v>0.45816265224374453</v>
      </c>
      <c r="R77" s="11">
        <f t="shared" ca="1" si="45"/>
        <v>0</v>
      </c>
      <c r="S77" s="11">
        <f t="shared" ca="1" si="45"/>
        <v>0.36499797664427469</v>
      </c>
      <c r="T77" s="10"/>
      <c r="U77" s="10"/>
      <c r="V77" s="10"/>
      <c r="W77" s="10"/>
      <c r="X77" s="10"/>
      <c r="Z77" s="60">
        <f ca="1">IF(neural_net!Z$12,0,MMULT($O77:$S77,V$14:V$18))</f>
        <v>0.50036387448385733</v>
      </c>
      <c r="AA77" s="60">
        <f ca="1">IF(neural_net!AA$12,0,MMULT($O77:$S77,W$14:W$18))</f>
        <v>-1.0265201082522348</v>
      </c>
      <c r="AB77" s="60">
        <f ca="1">IF(neural_net!AB$12,0,MMULT($O77:$S77,X$14:X$18))</f>
        <v>-0.53845386147012608</v>
      </c>
      <c r="AC77" s="58"/>
      <c r="AD77" s="60">
        <v>1</v>
      </c>
      <c r="AE77" s="60">
        <f t="shared" ca="1" si="27"/>
        <v>0.46240327739843839</v>
      </c>
      <c r="AF77" s="60">
        <f t="shared" ca="1" si="28"/>
        <v>-0.7725089108269021</v>
      </c>
      <c r="AG77" s="60">
        <f t="shared" ca="1" si="29"/>
        <v>-0.49181670539004069</v>
      </c>
      <c r="AH77" s="60">
        <f t="shared" ca="1" si="30"/>
        <v>0.813340641288674</v>
      </c>
      <c r="AI77" s="60">
        <f t="shared" ca="1" si="31"/>
        <v>0.57959563322201935</v>
      </c>
      <c r="AJ77" s="60">
        <f t="shared" ca="1" si="32"/>
        <v>0.79237657213802148</v>
      </c>
      <c r="AK77" s="25"/>
      <c r="AL77" s="25"/>
      <c r="AM77" s="25"/>
      <c r="AN77" s="25"/>
      <c r="AP77" s="62">
        <f ca="1">IF(neural_net!AP$12,0,MMULT($AD77:$AG77,AM$14:AM$17))</f>
        <v>0.64711264965284876</v>
      </c>
      <c r="AQ77" s="62">
        <f ca="1">IF(neural_net!AQ$12,0,MMULT($AD77:$AG77,AN$14:AN$17))</f>
        <v>0.41901147748047024</v>
      </c>
      <c r="AR77" s="24"/>
      <c r="AS77" s="62">
        <v>1</v>
      </c>
      <c r="AT77" s="62">
        <f t="shared" ca="1" si="33"/>
        <v>0.64711264965284876</v>
      </c>
      <c r="AU77" s="62">
        <f t="shared" ca="1" si="34"/>
        <v>0.41901147748047024</v>
      </c>
      <c r="AV77" s="118">
        <f t="shared" ca="1" si="35"/>
        <v>1</v>
      </c>
      <c r="AW77" s="118">
        <f t="shared" ca="1" si="36"/>
        <v>1</v>
      </c>
      <c r="AX77" s="24"/>
      <c r="AY77" s="24"/>
      <c r="AZ77" s="24"/>
      <c r="BB77" s="65">
        <f t="shared" ca="1" si="37"/>
        <v>3.9455241303165522E-2</v>
      </c>
      <c r="BC77" s="36"/>
      <c r="BD77" s="65">
        <f t="shared" ca="1" si="38"/>
        <v>0.50986253092895606</v>
      </c>
      <c r="BE77" s="65">
        <f t="shared" ca="1" si="39"/>
        <v>0.24990273048367539</v>
      </c>
      <c r="BF77" s="183">
        <f t="shared" ca="1" si="40"/>
        <v>0.99943757266598543</v>
      </c>
      <c r="BG77" s="183">
        <f t="shared" ca="1" si="41"/>
        <v>0.50986253092895606</v>
      </c>
    </row>
    <row r="78" spans="2:59">
      <c r="B78" s="1">
        <v>65</v>
      </c>
      <c r="C78" s="6">
        <v>-8.7752528224313568</v>
      </c>
      <c r="D78" s="6">
        <v>21.029568899393041</v>
      </c>
      <c r="E78" s="6">
        <v>1.9205095596698891</v>
      </c>
      <c r="F78" s="6">
        <v>-9.0962001293981203</v>
      </c>
      <c r="G78" s="106">
        <f t="shared" si="15"/>
        <v>0.24116952126722643</v>
      </c>
      <c r="I78" s="72">
        <v>0.72061251767232637</v>
      </c>
      <c r="J78" s="10">
        <f t="shared" ref="J78:J109" si="46">RANK(I78,shuffle,0)</f>
        <v>26</v>
      </c>
      <c r="K78" s="10">
        <f t="shared" ref="K78:K113" si="47">CEILING(B78/batch_size,1)</f>
        <v>7</v>
      </c>
      <c r="L78" s="10">
        <f t="shared" ref="L78:L109" si="48">(K78=batch_num)/1</f>
        <v>0</v>
      </c>
      <c r="M78" s="10"/>
      <c r="N78" s="182">
        <f t="shared" ca="1" si="16"/>
        <v>9.5305308300290548E-2</v>
      </c>
      <c r="O78" s="11">
        <v>1</v>
      </c>
      <c r="P78" s="11">
        <f t="shared" ca="1" si="45"/>
        <v>0.67782689997932488</v>
      </c>
      <c r="Q78" s="11">
        <f t="shared" ca="1" si="45"/>
        <v>0.42091774321813114</v>
      </c>
      <c r="R78" s="11">
        <f t="shared" ca="1" si="45"/>
        <v>0.46832640071122095</v>
      </c>
      <c r="S78" s="11">
        <f t="shared" ca="1" si="45"/>
        <v>0.22714170063178851</v>
      </c>
      <c r="T78" s="10"/>
      <c r="U78" s="10"/>
      <c r="V78" s="10"/>
      <c r="W78" s="10"/>
      <c r="X78" s="10"/>
      <c r="Z78" s="60">
        <f ca="1">IF(neural_net!Z$12,0,MMULT($O78:$S78,V$14:V$18))</f>
        <v>0.52700437461680716</v>
      </c>
      <c r="AA78" s="60">
        <f ca="1">IF(neural_net!AA$12,0,MMULT($O78:$S78,W$14:W$18))</f>
        <v>-1.365120394325841</v>
      </c>
      <c r="AB78" s="60">
        <f ca="1">IF(neural_net!AB$12,0,MMULT($O78:$S78,X$14:X$18))</f>
        <v>-0.44050595383983837</v>
      </c>
      <c r="AC78" s="58"/>
      <c r="AD78" s="60">
        <v>1</v>
      </c>
      <c r="AE78" s="60">
        <f t="shared" ref="AE78:AE113" ca="1" si="49" xml:space="preserve">
IF(activation_2="Sigmoid",(1+EXP(-Z78))^-1,
IF(activation_2="Tanh",TANH(Z78),
IF(activation_2="Leaky ReLU",MAX(Z78,0),
IF(activation_2="Exponential",EXP(Z78),0)
)))</f>
        <v>0.48308789149691528</v>
      </c>
      <c r="AF78" s="60">
        <f t="shared" ref="AF78:AF113" ca="1" si="50" xml:space="preserve">
IF(activation_2="Sigmoid",(1+EXP(-AA78))^-1,
IF(activation_2="Tanh",TANH(AA78),
IF(activation_2="Leaky ReLU",MAX(AA78,0),
IF(activation_2="Exponential",EXP(AA78),0)
)))</f>
        <v>-0.87757535130492459</v>
      </c>
      <c r="AG78" s="60">
        <f t="shared" ref="AG78:AG113" ca="1" si="51" xml:space="preserve">
IF(activation_2="Sigmoid",(1+EXP(-AB78))^-1,
IF(activation_2="Tanh",TANH(AB78),
IF(activation_2="Leaky ReLU",MAX(AB78,0),
IF(activation_2="Exponential",EXP(AB78),0)
)))</f>
        <v>-0.41406373866419427</v>
      </c>
      <c r="AH78" s="60">
        <f t="shared" ref="AH78:AH113" ca="1" si="52" xml:space="preserve">
IF(activation_2="Sigmoid",AE78*(1-AE78),
IF(activation_2="Tanh",1-TANH(AE78)^2,
IF(activation_2="Leaky ReLU",IF(AE78&gt;0.01,1,0),
IF(activation_2="Exponential",AE78*EXP(AE78),0)
)))</f>
        <v>0.79865647426143394</v>
      </c>
      <c r="AI78" s="60">
        <f t="shared" ref="AI78:AI113" ca="1" si="53" xml:space="preserve">
IF(activation_2="Sigmoid",AF78*(1-AF78),
IF(activation_2="Tanh",1-TANH(AF78)^2,
IF(activation_2="Leaky ReLU",IF(AF78&gt;0.01,1,0),
IF(activation_2="Exponential",AF78*EXP(AF78),0)
)))</f>
        <v>0.50268935190277064</v>
      </c>
      <c r="AJ78" s="60">
        <f t="shared" ref="AJ78:AJ113" ca="1" si="54" xml:space="preserve">
IF(activation_2="Sigmoid",AG78*(1-AG78),
IF(activation_2="Tanh",1-TANH(AG78)^2,
IF(activation_2="Leaky ReLU",IF(AG78&gt;0.01,1,0),
IF(activation_2="Exponential",AG78*EXP(AG78),0)
)))</f>
        <v>0.84640051762329016</v>
      </c>
      <c r="AK78" s="25"/>
      <c r="AL78" s="25"/>
      <c r="AM78" s="25"/>
      <c r="AN78" s="25"/>
      <c r="AP78" s="62">
        <f ca="1">IF(neural_net!AP$12,0,MMULT($AD78:$AG78,AM$14:AM$17))</f>
        <v>0.76117052307137811</v>
      </c>
      <c r="AQ78" s="62">
        <f ca="1">IF(neural_net!AQ$12,0,MMULT($AD78:$AG78,AN$14:AN$17))</f>
        <v>0.39127256441330904</v>
      </c>
      <c r="AR78" s="24"/>
      <c r="AS78" s="62">
        <v>1</v>
      </c>
      <c r="AT78" s="62">
        <f t="shared" ref="AT78:AT113" ca="1" si="55" xml:space="preserve">
IF(activation_3="Sigmoid",(1+EXP(-AP78))^-1,
IF(activation_3="Tanh",TANH(AP78),
IF(activation_3="Leaky ReLU",MAX(AP78,0),
IF(activation_3="Exponential",EXP(AP78),0)
)))</f>
        <v>0.76117052307137811</v>
      </c>
      <c r="AU78" s="62">
        <f t="shared" ref="AU78:AU113" ca="1" si="56" xml:space="preserve">
IF(activation_3="Sigmoid",(1+EXP(-AQ78))^-1,
IF(activation_3="Tanh",TANH(AQ78),
IF(activation_3="Leaky ReLU",MAX(AQ78,0),
IF(activation_3="Exponential",EXP(AQ78),0)
)))</f>
        <v>0.39127256441330904</v>
      </c>
      <c r="AV78" s="118">
        <f t="shared" ref="AV78:AV113" ca="1" si="57" xml:space="preserve">
IF(activation_3="Sigmoid",AT78*(1-AT78),
IF(activation_3="Tanh",1-TANH(AT78)^2,
IF(activation_3="Leaky ReLU",IF(AT78&gt;0.01,1,0),
IF(activation_3="Exponential",AT78*EXP(AT78),0)
)))</f>
        <v>1</v>
      </c>
      <c r="AW78" s="118">
        <f t="shared" ref="AW78:AW113" ca="1" si="58" xml:space="preserve">
IF(activation_3="Sigmoid",AU78*(1-AU78),
IF(activation_3="Tanh",1-TANH(AU78)^2,
IF(activation_3="Leaky ReLU",IF(AU78&gt;0.01,1,0),
IF(activation_3="Exponential",AU78*EXP(AU78),0)
)))</f>
        <v>1</v>
      </c>
      <c r="AX78" s="24"/>
      <c r="AY78" s="24"/>
      <c r="AZ78" s="24"/>
      <c r="BB78" s="65">
        <f t="shared" ref="BB78:BB113" ca="1" si="59">MMULT($AS78:$AU78,AZ$14:AZ$16)</f>
        <v>-1.5931192713282222E-2</v>
      </c>
      <c r="BC78" s="36"/>
      <c r="BD78" s="65">
        <f t="shared" ref="BD78:BD113" ca="1" si="60" xml:space="preserve">
IF(activation_4="Sigmoid",(1+EXP(-BB78))^-1,
IF(activation_4="Tanh",TANH(BB78),
IF(activation_4="Leaky ReLU",MAX(BB78,0),
IF(activation_4="Exponential",EXP(BB78),0)
)))</f>
        <v>0.49601728605668594</v>
      </c>
      <c r="BE78" s="65">
        <f t="shared" ref="BE78:BE109" ca="1" si="61" xml:space="preserve">
IF(activation_4="Sigmoid",BD78*(1-BD78),
IF(activation_4="Tanh",1-TANH(BD78)^2,
IF(activation_4="Leaky ReLU",IF(BD78&gt;0.01,1,0),
IF(activation_4="Exponential",AT78*EXP(AT78),0)
)))</f>
        <v>0.24998413798964572</v>
      </c>
      <c r="BF78" s="183">
        <f t="shared" ref="BF78:BF113" ca="1" si="62">((MAX(y)-MIN(y))*N78)+MIN(y)</f>
        <v>9.5305308300290548E-2</v>
      </c>
      <c r="BG78" s="183">
        <f t="shared" ref="BG78:BG112" ca="1" si="63">((MAX(y)-MIN(y))*BD78)+MIN(y)</f>
        <v>0.49601728605668594</v>
      </c>
    </row>
    <row r="79" spans="2:59">
      <c r="B79" s="1">
        <v>66</v>
      </c>
      <c r="C79" s="6">
        <v>9.3684743078871264</v>
      </c>
      <c r="D79" s="6">
        <v>17.682840463643934</v>
      </c>
      <c r="E79" s="6">
        <v>-1.6439272601477679</v>
      </c>
      <c r="F79" s="6">
        <v>-9.5844360727360307</v>
      </c>
      <c r="G79" s="106">
        <f t="shared" ref="G79:G113" si="64">IFERROR((1+EXP(-(3*(C79/D79)-0.5*(E79/F79) )))^-1,1)</f>
        <v>0.81811936627628346</v>
      </c>
      <c r="I79" s="72">
        <v>4.7481427535801757E-2</v>
      </c>
      <c r="J79" s="10">
        <f t="shared" si="46"/>
        <v>97</v>
      </c>
      <c r="K79" s="10">
        <f t="shared" si="47"/>
        <v>7</v>
      </c>
      <c r="L79" s="10">
        <f t="shared" si="48"/>
        <v>0</v>
      </c>
      <c r="M79" s="10"/>
      <c r="N79" s="182">
        <f t="shared" ref="N79:N113" ca="1" si="65">(INDEX(INDIRECT(N$13),$J79,1)-MIN(INDIRECT(N$13)))/(MAX(INDIRECT(N$13))-MIN(INDIRECT(N$13)))</f>
        <v>0.99963846753270624</v>
      </c>
      <c r="O79" s="11">
        <v>1</v>
      </c>
      <c r="P79" s="11">
        <f t="shared" ca="1" si="45"/>
        <v>0.35947744567989326</v>
      </c>
      <c r="Q79" s="11">
        <f t="shared" ca="1" si="45"/>
        <v>0.46656380119841367</v>
      </c>
      <c r="R79" s="11">
        <f t="shared" ca="1" si="45"/>
        <v>0.33506023095591481</v>
      </c>
      <c r="S79" s="11">
        <f t="shared" ca="1" si="45"/>
        <v>0.85290500451916584</v>
      </c>
      <c r="T79" s="10"/>
      <c r="U79" s="10"/>
      <c r="V79" s="10"/>
      <c r="W79" s="10"/>
      <c r="X79" s="10"/>
      <c r="Z79" s="60">
        <f ca="1">IF(neural_net!Z$12,0,MMULT($O79:$S79,V$14:V$18))</f>
        <v>0.30866476677470256</v>
      </c>
      <c r="AA79" s="60">
        <f ca="1">IF(neural_net!AA$12,0,MMULT($O79:$S79,W$14:W$18))</f>
        <v>-1.5867577953621863</v>
      </c>
      <c r="AB79" s="60">
        <f ca="1">IF(neural_net!AB$12,0,MMULT($O79:$S79,X$14:X$18))</f>
        <v>-1.105992446412722</v>
      </c>
      <c r="AC79" s="58"/>
      <c r="AD79" s="60">
        <v>1</v>
      </c>
      <c r="AE79" s="60">
        <f t="shared" ca="1" si="49"/>
        <v>0.29922189858461556</v>
      </c>
      <c r="AF79" s="60">
        <f t="shared" ca="1" si="50"/>
        <v>-0.9196507346734718</v>
      </c>
      <c r="AG79" s="60">
        <f t="shared" ca="1" si="51"/>
        <v>-0.80264121477014594</v>
      </c>
      <c r="AH79" s="60">
        <f t="shared" ca="1" si="52"/>
        <v>0.91555141810455354</v>
      </c>
      <c r="AI79" s="60">
        <f t="shared" ca="1" si="53"/>
        <v>0.47331285374439735</v>
      </c>
      <c r="AJ79" s="60">
        <f t="shared" ca="1" si="54"/>
        <v>0.55709541978136468</v>
      </c>
      <c r="AK79" s="25"/>
      <c r="AL79" s="25"/>
      <c r="AM79" s="25"/>
      <c r="AN79" s="25"/>
      <c r="AP79" s="62">
        <f ca="1">IF(neural_net!AP$12,0,MMULT($AD79:$AG79,AM$14:AM$17))</f>
        <v>0.47520078883363726</v>
      </c>
      <c r="AQ79" s="62">
        <f ca="1">IF(neural_net!AQ$12,0,MMULT($AD79:$AG79,AN$14:AN$17))</f>
        <v>0.64073372265561956</v>
      </c>
      <c r="AR79" s="24"/>
      <c r="AS79" s="62">
        <v>1</v>
      </c>
      <c r="AT79" s="62">
        <f t="shared" ca="1" si="55"/>
        <v>0.47520078883363726</v>
      </c>
      <c r="AU79" s="62">
        <f t="shared" ca="1" si="56"/>
        <v>0.64073372265561956</v>
      </c>
      <c r="AV79" s="118">
        <f t="shared" ca="1" si="57"/>
        <v>1</v>
      </c>
      <c r="AW79" s="118">
        <f t="shared" ca="1" si="58"/>
        <v>1</v>
      </c>
      <c r="AX79" s="24"/>
      <c r="AY79" s="24"/>
      <c r="AZ79" s="24"/>
      <c r="BB79" s="65">
        <f t="shared" ca="1" si="59"/>
        <v>0.16222000622549912</v>
      </c>
      <c r="BC79" s="36"/>
      <c r="BD79" s="65">
        <f t="shared" ca="1" si="60"/>
        <v>0.54046630011432906</v>
      </c>
      <c r="BE79" s="65">
        <f t="shared" ca="1" si="61"/>
        <v>0.24836247855505705</v>
      </c>
      <c r="BF79" s="183">
        <f t="shared" ca="1" si="62"/>
        <v>0.99963846753270624</v>
      </c>
      <c r="BG79" s="183">
        <f t="shared" ca="1" si="63"/>
        <v>0.54046630011432906</v>
      </c>
    </row>
    <row r="80" spans="2:59">
      <c r="B80" s="1">
        <v>67</v>
      </c>
      <c r="C80" s="6">
        <v>4.0172759173001591</v>
      </c>
      <c r="D80" s="6">
        <v>9.6516532648755877</v>
      </c>
      <c r="E80" s="6">
        <v>5.1387700465289097</v>
      </c>
      <c r="F80" s="6">
        <v>6.5866369054780582</v>
      </c>
      <c r="G80" s="106">
        <f t="shared" si="64"/>
        <v>0.70236588844182435</v>
      </c>
      <c r="I80" s="72">
        <v>0.49963378920812851</v>
      </c>
      <c r="J80" s="10">
        <f t="shared" si="46"/>
        <v>49</v>
      </c>
      <c r="K80" s="10">
        <f t="shared" si="47"/>
        <v>7</v>
      </c>
      <c r="L80" s="10">
        <f t="shared" si="48"/>
        <v>0</v>
      </c>
      <c r="M80" s="10"/>
      <c r="N80" s="182">
        <f t="shared" ca="1" si="65"/>
        <v>0.9999999999999325</v>
      </c>
      <c r="O80" s="11">
        <v>1</v>
      </c>
      <c r="P80" s="11">
        <f t="shared" ca="1" si="45"/>
        <v>0.12835709033292433</v>
      </c>
      <c r="Q80" s="11">
        <f t="shared" ca="1" si="45"/>
        <v>0.48947985808353101</v>
      </c>
      <c r="R80" s="11">
        <f t="shared" ca="1" si="45"/>
        <v>0.2619539466959423</v>
      </c>
      <c r="S80" s="11">
        <f t="shared" ca="1" si="45"/>
        <v>0.70090823731327423</v>
      </c>
      <c r="T80" s="10"/>
      <c r="U80" s="10"/>
      <c r="V80" s="10"/>
      <c r="W80" s="10"/>
      <c r="X80" s="10"/>
      <c r="Z80" s="60">
        <f ca="1">IF(neural_net!Z$12,0,MMULT($O80:$S80,V$14:V$18))</f>
        <v>0.41213201047226078</v>
      </c>
      <c r="AA80" s="60">
        <f ca="1">IF(neural_net!AA$12,0,MMULT($O80:$S80,W$14:W$18))</f>
        <v>-1.2678304420040694</v>
      </c>
      <c r="AB80" s="60">
        <f ca="1">IF(neural_net!AB$12,0,MMULT($O80:$S80,X$14:X$18))</f>
        <v>-1.1267440888936502</v>
      </c>
      <c r="AC80" s="58"/>
      <c r="AD80" s="60">
        <v>1</v>
      </c>
      <c r="AE80" s="60">
        <f t="shared" ca="1" si="49"/>
        <v>0.39028144599561682</v>
      </c>
      <c r="AF80" s="60">
        <f t="shared" ca="1" si="50"/>
        <v>-0.85320854847829808</v>
      </c>
      <c r="AG80" s="60">
        <f t="shared" ca="1" si="51"/>
        <v>-0.80990198749349152</v>
      </c>
      <c r="AH80" s="60">
        <f t="shared" ca="1" si="52"/>
        <v>0.8619113332156304</v>
      </c>
      <c r="AI80" s="60">
        <f t="shared" ca="1" si="53"/>
        <v>0.5201085559616645</v>
      </c>
      <c r="AJ80" s="60">
        <f t="shared" ca="1" si="54"/>
        <v>0.55172129352025423</v>
      </c>
      <c r="AK80" s="25"/>
      <c r="AL80" s="25"/>
      <c r="AM80" s="25"/>
      <c r="AN80" s="25"/>
      <c r="AP80" s="62">
        <f ca="1">IF(neural_net!AP$12,0,MMULT($AD80:$AG80,AM$14:AM$17))</f>
        <v>0.37279869721293746</v>
      </c>
      <c r="AQ80" s="62">
        <f ca="1">IF(neural_net!AQ$12,0,MMULT($AD80:$AG80,AN$14:AN$17))</f>
        <v>0.69799080706100214</v>
      </c>
      <c r="AR80" s="24"/>
      <c r="AS80" s="62">
        <v>1</v>
      </c>
      <c r="AT80" s="62">
        <f t="shared" ca="1" si="55"/>
        <v>0.37279869721293746</v>
      </c>
      <c r="AU80" s="62">
        <f t="shared" ca="1" si="56"/>
        <v>0.69799080706100214</v>
      </c>
      <c r="AV80" s="118">
        <f t="shared" ca="1" si="57"/>
        <v>1</v>
      </c>
      <c r="AW80" s="118">
        <f t="shared" ca="1" si="58"/>
        <v>1</v>
      </c>
      <c r="AX80" s="24"/>
      <c r="AY80" s="24"/>
      <c r="AZ80" s="24"/>
      <c r="BB80" s="65">
        <f t="shared" ca="1" si="59"/>
        <v>0.21901072205230732</v>
      </c>
      <c r="BC80" s="36"/>
      <c r="BD80" s="65">
        <f t="shared" ca="1" si="60"/>
        <v>0.55453487098791154</v>
      </c>
      <c r="BE80" s="65">
        <f t="shared" ca="1" si="61"/>
        <v>0.24702594784633183</v>
      </c>
      <c r="BF80" s="183">
        <f t="shared" ca="1" si="62"/>
        <v>0.9999999999999325</v>
      </c>
      <c r="BG80" s="183">
        <f t="shared" ca="1" si="63"/>
        <v>0.55453487098791154</v>
      </c>
    </row>
    <row r="81" spans="2:59">
      <c r="B81" s="1">
        <v>68</v>
      </c>
      <c r="C81" s="6">
        <v>-4.1013654674859776E-2</v>
      </c>
      <c r="D81" s="6">
        <v>17.544862404367993</v>
      </c>
      <c r="E81" s="6">
        <v>3.9633072357500971</v>
      </c>
      <c r="F81" s="6">
        <v>4.4168897818154136</v>
      </c>
      <c r="G81" s="106">
        <f t="shared" si="64"/>
        <v>0.38801433826280179</v>
      </c>
      <c r="I81" s="72">
        <v>0.43698637294036691</v>
      </c>
      <c r="J81" s="10">
        <f t="shared" si="46"/>
        <v>56</v>
      </c>
      <c r="K81" s="10">
        <f t="shared" si="47"/>
        <v>7</v>
      </c>
      <c r="L81" s="10">
        <f t="shared" si="48"/>
        <v>0</v>
      </c>
      <c r="M81" s="10"/>
      <c r="N81" s="182">
        <f t="shared" ca="1" si="65"/>
        <v>0.79841142770015294</v>
      </c>
      <c r="O81" s="11">
        <v>1</v>
      </c>
      <c r="P81" s="11">
        <f t="shared" ca="1" si="45"/>
        <v>0.70393586709347589</v>
      </c>
      <c r="Q81" s="11">
        <f t="shared" ca="1" si="45"/>
        <v>0.67200638413793201</v>
      </c>
      <c r="R81" s="11">
        <f t="shared" ca="1" si="45"/>
        <v>0.18354644513164045</v>
      </c>
      <c r="S81" s="11">
        <f t="shared" ca="1" si="45"/>
        <v>0.10787769362509557</v>
      </c>
      <c r="T81" s="10"/>
      <c r="U81" s="10"/>
      <c r="V81" s="10"/>
      <c r="W81" s="10"/>
      <c r="X81" s="10"/>
      <c r="Z81" s="60">
        <f ca="1">IF(neural_net!Z$12,0,MMULT($O81:$S81,V$14:V$18))</f>
        <v>0.70041720299929533</v>
      </c>
      <c r="AA81" s="60">
        <f ca="1">IF(neural_net!AA$12,0,MMULT($O81:$S81,W$14:W$18))</f>
        <v>-1.4235839319101027</v>
      </c>
      <c r="AB81" s="60">
        <f ca="1">IF(neural_net!AB$12,0,MMULT($O81:$S81,X$14:X$18))</f>
        <v>-3.4539164721255469E-2</v>
      </c>
      <c r="AC81" s="58"/>
      <c r="AD81" s="60">
        <v>1</v>
      </c>
      <c r="AE81" s="60">
        <f t="shared" ca="1" si="49"/>
        <v>0.60463252560775871</v>
      </c>
      <c r="AF81" s="60">
        <f t="shared" ca="1" si="50"/>
        <v>-0.8903442025897832</v>
      </c>
      <c r="AG81" s="60">
        <f t="shared" ca="1" si="51"/>
        <v>-3.4525436728215196E-2</v>
      </c>
      <c r="AH81" s="60">
        <f t="shared" ca="1" si="52"/>
        <v>0.70803509972662682</v>
      </c>
      <c r="AI81" s="60">
        <f t="shared" ca="1" si="53"/>
        <v>0.49367710315029201</v>
      </c>
      <c r="AJ81" s="60">
        <f t="shared" ca="1" si="54"/>
        <v>0.99880894083113803</v>
      </c>
      <c r="AK81" s="25"/>
      <c r="AL81" s="25"/>
      <c r="AM81" s="25"/>
      <c r="AN81" s="25"/>
      <c r="AP81" s="62">
        <f ca="1">IF(neural_net!AP$12,0,MMULT($AD81:$AG81,AM$14:AM$17))</f>
        <v>1.1050710322272954</v>
      </c>
      <c r="AQ81" s="62">
        <f ca="1">IF(neural_net!AQ$12,0,MMULT($AD81:$AG81,AN$14:AN$17))</f>
        <v>0.11914396791596754</v>
      </c>
      <c r="AR81" s="24"/>
      <c r="AS81" s="62">
        <v>1</v>
      </c>
      <c r="AT81" s="62">
        <f t="shared" ca="1" si="55"/>
        <v>1.1050710322272954</v>
      </c>
      <c r="AU81" s="62">
        <f t="shared" ca="1" si="56"/>
        <v>0.11914396791596754</v>
      </c>
      <c r="AV81" s="118">
        <f t="shared" ca="1" si="57"/>
        <v>1</v>
      </c>
      <c r="AW81" s="118">
        <f t="shared" ca="1" si="58"/>
        <v>1</v>
      </c>
      <c r="AX81" s="24"/>
      <c r="AY81" s="24"/>
      <c r="AZ81" s="24"/>
      <c r="BB81" s="65">
        <f t="shared" ca="1" si="59"/>
        <v>-0.2240867098370064</v>
      </c>
      <c r="BC81" s="36"/>
      <c r="BD81" s="65">
        <f t="shared" ca="1" si="60"/>
        <v>0.44421157801576672</v>
      </c>
      <c r="BE81" s="65">
        <f t="shared" ca="1" si="61"/>
        <v>0.24688765197250911</v>
      </c>
      <c r="BF81" s="183">
        <f t="shared" ca="1" si="62"/>
        <v>0.79841142770015294</v>
      </c>
      <c r="BG81" s="183">
        <f t="shared" ca="1" si="63"/>
        <v>0.44421157801576672</v>
      </c>
    </row>
    <row r="82" spans="2:59">
      <c r="B82" s="1">
        <v>69</v>
      </c>
      <c r="C82" s="6">
        <v>-2.0365303830177814</v>
      </c>
      <c r="D82" s="6">
        <v>8.375966219666358</v>
      </c>
      <c r="E82" s="6">
        <v>-17.623124674295283</v>
      </c>
      <c r="F82" s="6">
        <v>-7.8408887648401757</v>
      </c>
      <c r="G82" s="106">
        <f t="shared" si="64"/>
        <v>0.13549578607530782</v>
      </c>
      <c r="I82" s="72">
        <v>0.58024845553557935</v>
      </c>
      <c r="J82" s="10">
        <f t="shared" si="46"/>
        <v>42</v>
      </c>
      <c r="K82" s="10">
        <f t="shared" si="47"/>
        <v>7</v>
      </c>
      <c r="L82" s="10">
        <f t="shared" si="48"/>
        <v>0</v>
      </c>
      <c r="M82" s="10"/>
      <c r="N82" s="182">
        <f t="shared" ca="1" si="65"/>
        <v>0.68672872316082645</v>
      </c>
      <c r="O82" s="11">
        <v>1</v>
      </c>
      <c r="P82" s="11">
        <f t="shared" ca="1" si="45"/>
        <v>0.70830145846394355</v>
      </c>
      <c r="Q82" s="11">
        <f t="shared" ca="1" si="45"/>
        <v>1</v>
      </c>
      <c r="R82" s="11">
        <f t="shared" ca="1" si="45"/>
        <v>0.39297515439231118</v>
      </c>
      <c r="S82" s="11">
        <f t="shared" ca="1" si="45"/>
        <v>0.65478226639434134</v>
      </c>
      <c r="T82" s="10"/>
      <c r="U82" s="10"/>
      <c r="V82" s="10"/>
      <c r="W82" s="10"/>
      <c r="X82" s="10"/>
      <c r="Z82" s="60">
        <f ca="1">IF(neural_net!Z$12,0,MMULT($O82:$S82,V$14:V$18))</f>
        <v>0.67179163554915333</v>
      </c>
      <c r="AA82" s="60">
        <f ca="1">IF(neural_net!AA$12,0,MMULT($O82:$S82,W$14:W$18))</f>
        <v>-2.1921314929354754</v>
      </c>
      <c r="AB82" s="60">
        <f ca="1">IF(neural_net!AB$12,0,MMULT($O82:$S82,X$14:X$18))</f>
        <v>-0.53783512677206291</v>
      </c>
      <c r="AC82" s="58"/>
      <c r="AD82" s="60">
        <v>1</v>
      </c>
      <c r="AE82" s="60">
        <f t="shared" ca="1" si="49"/>
        <v>0.58615718296964103</v>
      </c>
      <c r="AF82" s="60">
        <f t="shared" ca="1" si="50"/>
        <v>-0.97536311937898779</v>
      </c>
      <c r="AG82" s="60">
        <f t="shared" ca="1" si="51"/>
        <v>-0.49134748978821752</v>
      </c>
      <c r="AH82" s="60">
        <f t="shared" ca="1" si="52"/>
        <v>0.72213798308895361</v>
      </c>
      <c r="AI82" s="60">
        <f t="shared" ca="1" si="53"/>
        <v>0.43592146660131914</v>
      </c>
      <c r="AJ82" s="60">
        <f t="shared" ca="1" si="54"/>
        <v>0.79271532878026818</v>
      </c>
      <c r="AK82" s="25"/>
      <c r="AL82" s="25"/>
      <c r="AM82" s="25"/>
      <c r="AN82" s="25"/>
      <c r="AP82" s="62">
        <f ca="1">IF(neural_net!AP$12,0,MMULT($AD82:$AG82,AM$14:AM$17))</f>
        <v>0.63541633643622597</v>
      </c>
      <c r="AQ82" s="62">
        <f ca="1">IF(neural_net!AQ$12,0,MMULT($AD82:$AG82,AN$14:AN$17))</f>
        <v>0.57622742270509864</v>
      </c>
      <c r="AR82" s="24"/>
      <c r="AS82" s="62">
        <v>1</v>
      </c>
      <c r="AT82" s="62">
        <f t="shared" ca="1" si="55"/>
        <v>0.63541633643622597</v>
      </c>
      <c r="AU82" s="62">
        <f t="shared" ca="1" si="56"/>
        <v>0.57622742270509864</v>
      </c>
      <c r="AV82" s="118">
        <f t="shared" ca="1" si="57"/>
        <v>1</v>
      </c>
      <c r="AW82" s="118">
        <f t="shared" ca="1" si="58"/>
        <v>1</v>
      </c>
      <c r="AX82" s="24"/>
      <c r="AY82" s="24"/>
      <c r="AZ82" s="24"/>
      <c r="BB82" s="65">
        <f t="shared" ca="1" si="59"/>
        <v>7.8842316900249121E-2</v>
      </c>
      <c r="BC82" s="36"/>
      <c r="BD82" s="65">
        <f t="shared" ca="1" si="60"/>
        <v>0.51970037530563151</v>
      </c>
      <c r="BE82" s="65">
        <f t="shared" ca="1" si="61"/>
        <v>0.24961189521281726</v>
      </c>
      <c r="BF82" s="183">
        <f t="shared" ca="1" si="62"/>
        <v>0.68672872316082645</v>
      </c>
      <c r="BG82" s="183">
        <f t="shared" ca="1" si="63"/>
        <v>0.51970037530563151</v>
      </c>
    </row>
    <row r="83" spans="2:59">
      <c r="B83" s="1">
        <v>70</v>
      </c>
      <c r="C83" s="6">
        <v>-1.7161069759378278</v>
      </c>
      <c r="D83" s="6">
        <v>-12.40647595171259</v>
      </c>
      <c r="E83" s="6">
        <v>6.6917510778212836</v>
      </c>
      <c r="F83" s="6">
        <v>-7.176159381279394</v>
      </c>
      <c r="G83" s="106">
        <f t="shared" si="64"/>
        <v>0.70707481158919161</v>
      </c>
      <c r="I83" s="72">
        <v>0.6783021228126368</v>
      </c>
      <c r="J83" s="10">
        <f t="shared" si="46"/>
        <v>30</v>
      </c>
      <c r="K83" s="10">
        <f t="shared" si="47"/>
        <v>7</v>
      </c>
      <c r="L83" s="10">
        <f t="shared" si="48"/>
        <v>0</v>
      </c>
      <c r="M83" s="10"/>
      <c r="N83" s="182">
        <f t="shared" ca="1" si="65"/>
        <v>0.67507462642630434</v>
      </c>
      <c r="O83" s="11">
        <v>1</v>
      </c>
      <c r="P83" s="11">
        <f t="shared" ca="1" si="45"/>
        <v>0.57837010845272308</v>
      </c>
      <c r="Q83" s="11">
        <f t="shared" ca="1" si="45"/>
        <v>0.60275670861179431</v>
      </c>
      <c r="R83" s="11">
        <f t="shared" ca="1" si="45"/>
        <v>9.5650491871145632E-2</v>
      </c>
      <c r="S83" s="11">
        <f t="shared" ca="1" si="45"/>
        <v>1</v>
      </c>
      <c r="T83" s="10"/>
      <c r="U83" s="10"/>
      <c r="V83" s="10"/>
      <c r="W83" s="10"/>
      <c r="X83" s="10"/>
      <c r="Z83" s="60">
        <f ca="1">IF(neural_net!Z$12,0,MMULT($O83:$S83,V$14:V$18))</f>
        <v>0.27652366737296652</v>
      </c>
      <c r="AA83" s="60">
        <f ca="1">IF(neural_net!AA$12,0,MMULT($O83:$S83,W$14:W$18))</f>
        <v>-1.9366462594013041</v>
      </c>
      <c r="AB83" s="60">
        <f ca="1">IF(neural_net!AB$12,0,MMULT($O83:$S83,X$14:X$18))</f>
        <v>-0.80824066138983341</v>
      </c>
      <c r="AC83" s="58"/>
      <c r="AD83" s="60">
        <v>1</v>
      </c>
      <c r="AE83" s="60">
        <f t="shared" ca="1" si="49"/>
        <v>0.26968461308435621</v>
      </c>
      <c r="AF83" s="60">
        <f t="shared" ca="1" si="50"/>
        <v>-0.95926721511265067</v>
      </c>
      <c r="AG83" s="60">
        <f t="shared" ca="1" si="51"/>
        <v>-0.66861857876501651</v>
      </c>
      <c r="AH83" s="60">
        <f t="shared" ca="1" si="52"/>
        <v>0.93065660382486048</v>
      </c>
      <c r="AI83" s="60">
        <f t="shared" ca="1" si="53"/>
        <v>0.44653865203317067</v>
      </c>
      <c r="AJ83" s="60">
        <f t="shared" ca="1" si="54"/>
        <v>0.65886170747696959</v>
      </c>
      <c r="AK83" s="25"/>
      <c r="AL83" s="25"/>
      <c r="AM83" s="25"/>
      <c r="AN83" s="25"/>
      <c r="AP83" s="62">
        <f ca="1">IF(neural_net!AP$12,0,MMULT($AD83:$AG83,AM$14:AM$17))</f>
        <v>0.66456836963461874</v>
      </c>
      <c r="AQ83" s="62">
        <f ca="1">IF(neural_net!AQ$12,0,MMULT($AD83:$AG83,AN$14:AN$17))</f>
        <v>0.49929151039267244</v>
      </c>
      <c r="AR83" s="24"/>
      <c r="AS83" s="62">
        <v>1</v>
      </c>
      <c r="AT83" s="62">
        <f t="shared" ca="1" si="55"/>
        <v>0.66456836963461874</v>
      </c>
      <c r="AU83" s="62">
        <f t="shared" ca="1" si="56"/>
        <v>0.49929151039267244</v>
      </c>
      <c r="AV83" s="118">
        <f t="shared" ca="1" si="57"/>
        <v>1</v>
      </c>
      <c r="AW83" s="118">
        <f t="shared" ca="1" si="58"/>
        <v>1</v>
      </c>
      <c r="AX83" s="24"/>
      <c r="AY83" s="24"/>
      <c r="AZ83" s="24"/>
      <c r="BB83" s="65">
        <f t="shared" ca="1" si="59"/>
        <v>4.9435043132221107E-2</v>
      </c>
      <c r="BC83" s="36"/>
      <c r="BD83" s="65">
        <f t="shared" ca="1" si="60"/>
        <v>0.51235624451216055</v>
      </c>
      <c r="BE83" s="65">
        <f t="shared" ca="1" si="61"/>
        <v>0.2498473232215557</v>
      </c>
      <c r="BF83" s="183">
        <f t="shared" ca="1" si="62"/>
        <v>0.67507462642630434</v>
      </c>
      <c r="BG83" s="183">
        <f t="shared" ca="1" si="63"/>
        <v>0.51235624451216055</v>
      </c>
    </row>
    <row r="84" spans="2:59">
      <c r="B84" s="1">
        <v>71</v>
      </c>
      <c r="C84" s="6">
        <v>2.2942751897917302</v>
      </c>
      <c r="D84" s="6">
        <v>-3.449183115935015</v>
      </c>
      <c r="E84" s="6">
        <v>10.995696530616199</v>
      </c>
      <c r="F84" s="6">
        <v>10.430089071474962</v>
      </c>
      <c r="G84" s="106">
        <f t="shared" si="64"/>
        <v>7.4288352551323336E-2</v>
      </c>
      <c r="I84" s="72">
        <v>0.65559999578656802</v>
      </c>
      <c r="J84" s="10">
        <f t="shared" si="46"/>
        <v>32</v>
      </c>
      <c r="K84" s="10">
        <f t="shared" si="47"/>
        <v>8</v>
      </c>
      <c r="L84" s="10">
        <f t="shared" si="48"/>
        <v>0</v>
      </c>
      <c r="M84" s="10"/>
      <c r="N84" s="182">
        <f t="shared" ca="1" si="65"/>
        <v>0.80073102502595095</v>
      </c>
      <c r="O84" s="11">
        <v>1</v>
      </c>
      <c r="P84" s="11">
        <f t="shared" ca="1" si="45"/>
        <v>0.51937061062534473</v>
      </c>
      <c r="Q84" s="11">
        <f t="shared" ca="1" si="45"/>
        <v>0.76446301904258307</v>
      </c>
      <c r="R84" s="11">
        <f t="shared" ca="1" si="45"/>
        <v>0.35508102714575651</v>
      </c>
      <c r="S84" s="11">
        <f t="shared" ca="1" si="45"/>
        <v>0.52382848657266823</v>
      </c>
      <c r="T84" s="10"/>
      <c r="U84" s="10"/>
      <c r="V84" s="10"/>
      <c r="W84" s="10"/>
      <c r="X84" s="10"/>
      <c r="Z84" s="60">
        <f ca="1">IF(neural_net!Z$12,0,MMULT($O84:$S84,V$14:V$18))</f>
        <v>0.6106931878426366</v>
      </c>
      <c r="AA84" s="60">
        <f ca="1">IF(neural_net!AA$12,0,MMULT($O84:$S84,W$14:W$18))</f>
        <v>-1.7193108506968364</v>
      </c>
      <c r="AB84" s="60">
        <f ca="1">IF(neural_net!AB$12,0,MMULT($O84:$S84,X$14:X$18))</f>
        <v>-0.6359584631608417</v>
      </c>
      <c r="AC84" s="58"/>
      <c r="AD84" s="60">
        <v>1</v>
      </c>
      <c r="AE84" s="60">
        <f t="shared" ca="1" si="49"/>
        <v>0.54461486753529609</v>
      </c>
      <c r="AF84" s="60">
        <f t="shared" ca="1" si="50"/>
        <v>-0.93777999553582914</v>
      </c>
      <c r="AG84" s="60">
        <f t="shared" ca="1" si="51"/>
        <v>-0.56214143497148761</v>
      </c>
      <c r="AH84" s="60">
        <f t="shared" ca="1" si="52"/>
        <v>0.75351426645786679</v>
      </c>
      <c r="AI84" s="60">
        <f t="shared" ca="1" si="53"/>
        <v>0.46094946437737583</v>
      </c>
      <c r="AJ84" s="60">
        <f t="shared" ca="1" si="54"/>
        <v>0.74034395838870726</v>
      </c>
      <c r="AK84" s="25"/>
      <c r="AL84" s="25"/>
      <c r="AM84" s="25"/>
      <c r="AN84" s="25"/>
      <c r="AP84" s="62">
        <f ca="1">IF(neural_net!AP$12,0,MMULT($AD84:$AG84,AM$14:AM$17))</f>
        <v>0.57144856602550764</v>
      </c>
      <c r="AQ84" s="62">
        <f ca="1">IF(neural_net!AQ$12,0,MMULT($AD84:$AG84,AN$14:AN$17))</f>
        <v>0.60164036138356247</v>
      </c>
      <c r="AR84" s="24"/>
      <c r="AS84" s="62">
        <v>1</v>
      </c>
      <c r="AT84" s="62">
        <f t="shared" ca="1" si="55"/>
        <v>0.57144856602550764</v>
      </c>
      <c r="AU84" s="62">
        <f t="shared" ca="1" si="56"/>
        <v>0.60164036138356247</v>
      </c>
      <c r="AV84" s="118">
        <f t="shared" ca="1" si="57"/>
        <v>1</v>
      </c>
      <c r="AW84" s="118">
        <f t="shared" ca="1" si="58"/>
        <v>1</v>
      </c>
      <c r="AX84" s="24"/>
      <c r="AY84" s="24"/>
      <c r="AZ84" s="24"/>
      <c r="BB84" s="65">
        <f t="shared" ca="1" si="59"/>
        <v>0.11205709808604286</v>
      </c>
      <c r="BC84" s="36"/>
      <c r="BD84" s="65">
        <f t="shared" ca="1" si="60"/>
        <v>0.52798499716287717</v>
      </c>
      <c r="BE84" s="65">
        <f t="shared" ca="1" si="61"/>
        <v>0.24921683993379376</v>
      </c>
      <c r="BF84" s="183">
        <f t="shared" ca="1" si="62"/>
        <v>0.80073102502595095</v>
      </c>
      <c r="BG84" s="183">
        <f t="shared" ca="1" si="63"/>
        <v>0.52798499716287717</v>
      </c>
    </row>
    <row r="85" spans="2:59">
      <c r="B85" s="1">
        <v>72</v>
      </c>
      <c r="C85" s="6">
        <v>-3.6085034129830014</v>
      </c>
      <c r="D85" s="6">
        <v>2.0734727734546503</v>
      </c>
      <c r="E85" s="6">
        <v>4.3473234309166653</v>
      </c>
      <c r="F85" s="6">
        <v>-19.328613862018912</v>
      </c>
      <c r="G85" s="106">
        <f t="shared" si="64"/>
        <v>6.0088326356099548E-3</v>
      </c>
      <c r="I85" s="72">
        <v>0.92865637511574683</v>
      </c>
      <c r="J85" s="10">
        <f t="shared" si="46"/>
        <v>9</v>
      </c>
      <c r="K85" s="10">
        <f t="shared" si="47"/>
        <v>8</v>
      </c>
      <c r="L85" s="10">
        <f t="shared" si="48"/>
        <v>0</v>
      </c>
      <c r="M85" s="10"/>
      <c r="N85" s="182">
        <f t="shared" ca="1" si="65"/>
        <v>0.8249178226309184</v>
      </c>
      <c r="O85" s="11">
        <v>1</v>
      </c>
      <c r="P85" s="11">
        <f t="shared" ca="1" si="45"/>
        <v>0.33096684910685753</v>
      </c>
      <c r="Q85" s="11">
        <f t="shared" ca="1" si="45"/>
        <v>0.27488645072555146</v>
      </c>
      <c r="R85" s="11">
        <f t="shared" ca="1" si="45"/>
        <v>0.61124363661387271</v>
      </c>
      <c r="S85" s="11">
        <f t="shared" ca="1" si="45"/>
        <v>0.7826667706141518</v>
      </c>
      <c r="T85" s="10"/>
      <c r="U85" s="10"/>
      <c r="V85" s="10"/>
      <c r="W85" s="10"/>
      <c r="X85" s="10"/>
      <c r="Z85" s="60">
        <f ca="1">IF(neural_net!Z$12,0,MMULT($O85:$S85,V$14:V$18))</f>
        <v>0.25313412074915015</v>
      </c>
      <c r="AA85" s="60">
        <f ca="1">IF(neural_net!AA$12,0,MMULT($O85:$S85,W$14:W$18))</f>
        <v>-1.4242042854447612</v>
      </c>
      <c r="AB85" s="60">
        <f ca="1">IF(neural_net!AB$12,0,MMULT($O85:$S85,X$14:X$18))</f>
        <v>-1.3401094719188467</v>
      </c>
      <c r="AC85" s="58"/>
      <c r="AD85" s="60">
        <v>1</v>
      </c>
      <c r="AE85" s="60">
        <f t="shared" ca="1" si="49"/>
        <v>0.24786251309348925</v>
      </c>
      <c r="AF85" s="60">
        <f t="shared" ca="1" si="50"/>
        <v>-0.89047272293566582</v>
      </c>
      <c r="AG85" s="60">
        <f t="shared" ca="1" si="51"/>
        <v>-0.87169853846653211</v>
      </c>
      <c r="AH85" s="60">
        <f t="shared" ca="1" si="52"/>
        <v>0.9409955366040581</v>
      </c>
      <c r="AI85" s="60">
        <f t="shared" ca="1" si="53"/>
        <v>0.49358681343301614</v>
      </c>
      <c r="AJ85" s="60">
        <f t="shared" ca="1" si="54"/>
        <v>0.50686447805540369</v>
      </c>
      <c r="AK85" s="25"/>
      <c r="AL85" s="25"/>
      <c r="AM85" s="25"/>
      <c r="AN85" s="25"/>
      <c r="AP85" s="62">
        <f ca="1">IF(neural_net!AP$12,0,MMULT($AD85:$AG85,AM$14:AM$17))</f>
        <v>0.42384295718560372</v>
      </c>
      <c r="AQ85" s="62">
        <f ca="1">IF(neural_net!AQ$12,0,MMULT($AD85:$AG85,AN$14:AN$17))</f>
        <v>0.65942286939416994</v>
      </c>
      <c r="AR85" s="24"/>
      <c r="AS85" s="62">
        <v>1</v>
      </c>
      <c r="AT85" s="62">
        <f t="shared" ca="1" si="55"/>
        <v>0.42384295718560372</v>
      </c>
      <c r="AU85" s="62">
        <f t="shared" ca="1" si="56"/>
        <v>0.65942286939416994</v>
      </c>
      <c r="AV85" s="118">
        <f t="shared" ca="1" si="57"/>
        <v>1</v>
      </c>
      <c r="AW85" s="118">
        <f t="shared" ca="1" si="58"/>
        <v>1</v>
      </c>
      <c r="AX85" s="24"/>
      <c r="AY85" s="24"/>
      <c r="AZ85" s="24"/>
      <c r="BB85" s="65">
        <f t="shared" ca="1" si="59"/>
        <v>0.18851288332474925</v>
      </c>
      <c r="BC85" s="36"/>
      <c r="BD85" s="65">
        <f t="shared" ca="1" si="60"/>
        <v>0.54698914831421008</v>
      </c>
      <c r="BE85" s="65">
        <f t="shared" ca="1" si="61"/>
        <v>0.24779201994070515</v>
      </c>
      <c r="BF85" s="183">
        <f t="shared" ca="1" si="62"/>
        <v>0.8249178226309184</v>
      </c>
      <c r="BG85" s="183">
        <f t="shared" ca="1" si="63"/>
        <v>0.54698914831421008</v>
      </c>
    </row>
    <row r="86" spans="2:59">
      <c r="B86" s="1">
        <v>73</v>
      </c>
      <c r="C86" s="6">
        <v>3.3214970710009037</v>
      </c>
      <c r="D86" s="6">
        <v>0.23557188635375745</v>
      </c>
      <c r="E86" s="6">
        <v>8.4104085209922115</v>
      </c>
      <c r="F86" s="6">
        <v>7.2429100197042615</v>
      </c>
      <c r="G86" s="106">
        <f t="shared" si="64"/>
        <v>1</v>
      </c>
      <c r="I86" s="72">
        <v>0.10691895180546929</v>
      </c>
      <c r="J86" s="10">
        <f t="shared" si="46"/>
        <v>88</v>
      </c>
      <c r="K86" s="10">
        <f t="shared" si="47"/>
        <v>8</v>
      </c>
      <c r="L86" s="10">
        <f t="shared" si="48"/>
        <v>0</v>
      </c>
      <c r="M86" s="10"/>
      <c r="N86" s="182">
        <f t="shared" ca="1" si="65"/>
        <v>0.7688215096483938</v>
      </c>
      <c r="O86" s="11">
        <v>1</v>
      </c>
      <c r="P86" s="11">
        <f t="shared" ca="1" si="45"/>
        <v>0.70934843426234473</v>
      </c>
      <c r="Q86" s="11">
        <f t="shared" ca="1" si="45"/>
        <v>0.72343644115443495</v>
      </c>
      <c r="R86" s="11">
        <f t="shared" ca="1" si="45"/>
        <v>0.49211057359177141</v>
      </c>
      <c r="S86" s="11">
        <f t="shared" ca="1" si="45"/>
        <v>0.62597636681174851</v>
      </c>
      <c r="T86" s="10"/>
      <c r="U86" s="10"/>
      <c r="V86" s="10"/>
      <c r="W86" s="10"/>
      <c r="X86" s="10"/>
      <c r="Z86" s="60">
        <f ca="1">IF(neural_net!Z$12,0,MMULT($O86:$S86,V$14:V$18))</f>
        <v>0.52904685921164796</v>
      </c>
      <c r="AA86" s="60">
        <f ca="1">IF(neural_net!AA$12,0,MMULT($O86:$S86,W$14:W$18))</f>
        <v>-1.966573629493763</v>
      </c>
      <c r="AB86" s="60">
        <f ca="1">IF(neural_net!AB$12,0,MMULT($O86:$S86,X$14:X$18))</f>
        <v>-0.66597058603242187</v>
      </c>
      <c r="AC86" s="58"/>
      <c r="AD86" s="60">
        <v>1</v>
      </c>
      <c r="AE86" s="60">
        <f t="shared" ca="1" si="49"/>
        <v>0.4846521678278371</v>
      </c>
      <c r="AF86" s="60">
        <f t="shared" ca="1" si="50"/>
        <v>-0.9615882841192146</v>
      </c>
      <c r="AG86" s="60">
        <f t="shared" ca="1" si="51"/>
        <v>-0.58232309225754331</v>
      </c>
      <c r="AH86" s="60">
        <f t="shared" ca="1" si="52"/>
        <v>0.79753453077784875</v>
      </c>
      <c r="AI86" s="60">
        <f t="shared" ca="1" si="53"/>
        <v>0.44499811339506479</v>
      </c>
      <c r="AJ86" s="60">
        <f t="shared" ca="1" si="54"/>
        <v>0.72505513647297759</v>
      </c>
      <c r="AK86" s="25"/>
      <c r="AL86" s="25"/>
      <c r="AM86" s="25"/>
      <c r="AN86" s="25"/>
      <c r="AP86" s="62">
        <f ca="1">IF(neural_net!AP$12,0,MMULT($AD86:$AG86,AM$14:AM$17))</f>
        <v>0.6027517782958085</v>
      </c>
      <c r="AQ86" s="62">
        <f ca="1">IF(neural_net!AQ$12,0,MMULT($AD86:$AG86,AN$14:AN$17))</f>
        <v>0.58218927366197137</v>
      </c>
      <c r="AR86" s="24"/>
      <c r="AS86" s="62">
        <v>1</v>
      </c>
      <c r="AT86" s="62">
        <f t="shared" ca="1" si="55"/>
        <v>0.6027517782958085</v>
      </c>
      <c r="AU86" s="62">
        <f t="shared" ca="1" si="56"/>
        <v>0.58218927366197137</v>
      </c>
      <c r="AV86" s="118">
        <f t="shared" ca="1" si="57"/>
        <v>1</v>
      </c>
      <c r="AW86" s="118">
        <f t="shared" ca="1" si="58"/>
        <v>1</v>
      </c>
      <c r="AX86" s="24"/>
      <c r="AY86" s="24"/>
      <c r="AZ86" s="24"/>
      <c r="BB86" s="65">
        <f t="shared" ca="1" si="59"/>
        <v>9.4271392761536094E-2</v>
      </c>
      <c r="BC86" s="36"/>
      <c r="BD86" s="65">
        <f t="shared" ca="1" si="60"/>
        <v>0.52355040954499099</v>
      </c>
      <c r="BE86" s="65">
        <f t="shared" ca="1" si="61"/>
        <v>0.24944537821026319</v>
      </c>
      <c r="BF86" s="183">
        <f t="shared" ca="1" si="62"/>
        <v>0.7688215096483938</v>
      </c>
      <c r="BG86" s="183">
        <f t="shared" ca="1" si="63"/>
        <v>0.52355040954499099</v>
      </c>
    </row>
    <row r="87" spans="2:59">
      <c r="B87" s="1">
        <v>74</v>
      </c>
      <c r="C87" s="6">
        <v>-21.29469759218814</v>
      </c>
      <c r="D87" s="6">
        <v>6.3424578108738094</v>
      </c>
      <c r="E87" s="6">
        <v>8.2335388969277155</v>
      </c>
      <c r="F87" s="6">
        <v>3.5106256707012347</v>
      </c>
      <c r="G87" s="106">
        <f t="shared" si="64"/>
        <v>1.3070884007863505E-5</v>
      </c>
      <c r="I87" s="72">
        <v>0.12762068353786471</v>
      </c>
      <c r="J87" s="10">
        <f t="shared" si="46"/>
        <v>85</v>
      </c>
      <c r="K87" s="10">
        <f t="shared" si="47"/>
        <v>8</v>
      </c>
      <c r="L87" s="10">
        <f t="shared" si="48"/>
        <v>0</v>
      </c>
      <c r="M87" s="10"/>
      <c r="N87" s="182">
        <f t="shared" ca="1" si="65"/>
        <v>5.3512252916786422E-4</v>
      </c>
      <c r="O87" s="11">
        <v>1</v>
      </c>
      <c r="P87" s="11">
        <f t="shared" ca="1" si="45"/>
        <v>0.45387893361518622</v>
      </c>
      <c r="Q87" s="11">
        <f t="shared" ca="1" si="45"/>
        <v>0.54539486559570283</v>
      </c>
      <c r="R87" s="11">
        <f t="shared" ca="1" si="45"/>
        <v>0.57264632567565366</v>
      </c>
      <c r="S87" s="11">
        <f t="shared" ca="1" si="45"/>
        <v>0.20758014541117042</v>
      </c>
      <c r="T87" s="10"/>
      <c r="U87" s="10"/>
      <c r="V87" s="10"/>
      <c r="W87" s="10"/>
      <c r="X87" s="10"/>
      <c r="Z87" s="60">
        <f ca="1">IF(neural_net!Z$12,0,MMULT($O87:$S87,V$14:V$18))</f>
        <v>0.64662297311987249</v>
      </c>
      <c r="AA87" s="60">
        <f ca="1">IF(neural_net!AA$12,0,MMULT($O87:$S87,W$14:W$18))</f>
        <v>-1.291749189828534</v>
      </c>
      <c r="AB87" s="60">
        <f ca="1">IF(neural_net!AB$12,0,MMULT($O87:$S87,X$14:X$18))</f>
        <v>-0.66908820870189667</v>
      </c>
      <c r="AC87" s="58"/>
      <c r="AD87" s="60">
        <v>1</v>
      </c>
      <c r="AE87" s="60">
        <f t="shared" ca="1" si="49"/>
        <v>0.56939218500968736</v>
      </c>
      <c r="AF87" s="60">
        <f t="shared" ca="1" si="50"/>
        <v>-0.85958396593635322</v>
      </c>
      <c r="AG87" s="60">
        <f t="shared" ca="1" si="51"/>
        <v>-0.58437978798707368</v>
      </c>
      <c r="AH87" s="60">
        <f t="shared" ca="1" si="52"/>
        <v>0.73486485377317023</v>
      </c>
      <c r="AI87" s="60">
        <f t="shared" ca="1" si="53"/>
        <v>0.51552378113457931</v>
      </c>
      <c r="AJ87" s="60">
        <f t="shared" ca="1" si="54"/>
        <v>0.72349075879218006</v>
      </c>
      <c r="AK87" s="25"/>
      <c r="AL87" s="25"/>
      <c r="AM87" s="25"/>
      <c r="AN87" s="25"/>
      <c r="AP87" s="62">
        <f ca="1">IF(neural_net!AP$12,0,MMULT($AD87:$AG87,AM$14:AM$17))</f>
        <v>0.49691041889798404</v>
      </c>
      <c r="AQ87" s="62">
        <f ca="1">IF(neural_net!AQ$12,0,MMULT($AD87:$AG87,AN$14:AN$17))</f>
        <v>0.61862750982468251</v>
      </c>
      <c r="AR87" s="24"/>
      <c r="AS87" s="62">
        <v>1</v>
      </c>
      <c r="AT87" s="62">
        <f t="shared" ca="1" si="55"/>
        <v>0.49691041889798404</v>
      </c>
      <c r="AU87" s="62">
        <f t="shared" ca="1" si="56"/>
        <v>0.61862750982468251</v>
      </c>
      <c r="AV87" s="118">
        <f t="shared" ca="1" si="57"/>
        <v>1</v>
      </c>
      <c r="AW87" s="118">
        <f t="shared" ca="1" si="58"/>
        <v>1</v>
      </c>
      <c r="AX87" s="24"/>
      <c r="AY87" s="24"/>
      <c r="AZ87" s="24"/>
      <c r="BB87" s="65">
        <f t="shared" ca="1" si="59"/>
        <v>0.14800373443317061</v>
      </c>
      <c r="BC87" s="36"/>
      <c r="BD87" s="65">
        <f t="shared" ca="1" si="60"/>
        <v>0.53693353878760752</v>
      </c>
      <c r="BE87" s="65">
        <f t="shared" ca="1" si="61"/>
        <v>0.24863591371262428</v>
      </c>
      <c r="BF87" s="183">
        <f t="shared" ca="1" si="62"/>
        <v>5.3512252916786422E-4</v>
      </c>
      <c r="BG87" s="183">
        <f t="shared" ca="1" si="63"/>
        <v>0.53693353878760752</v>
      </c>
    </row>
    <row r="88" spans="2:59">
      <c r="B88" s="1">
        <v>75</v>
      </c>
      <c r="C88" s="6">
        <v>1.8697936450353132</v>
      </c>
      <c r="D88" s="6">
        <v>12.907289976939758</v>
      </c>
      <c r="E88" s="6">
        <v>6.8998412544359313</v>
      </c>
      <c r="F88" s="6">
        <v>-8.0306236346763633</v>
      </c>
      <c r="G88" s="106">
        <f t="shared" si="64"/>
        <v>0.70353443379002323</v>
      </c>
      <c r="I88" s="72">
        <v>0.34928107450414192</v>
      </c>
      <c r="J88" s="10">
        <f t="shared" si="46"/>
        <v>63</v>
      </c>
      <c r="K88" s="10">
        <f t="shared" si="47"/>
        <v>8</v>
      </c>
      <c r="L88" s="10">
        <f t="shared" si="48"/>
        <v>0</v>
      </c>
      <c r="M88" s="10"/>
      <c r="N88" s="182">
        <f t="shared" ca="1" si="65"/>
        <v>0.11160849923859056</v>
      </c>
      <c r="O88" s="11">
        <v>1</v>
      </c>
      <c r="P88" s="11">
        <f t="shared" ca="1" si="45"/>
        <v>0.38047257938042706</v>
      </c>
      <c r="Q88" s="11">
        <f t="shared" ca="1" si="45"/>
        <v>0.68003672649043001</v>
      </c>
      <c r="R88" s="11">
        <f t="shared" ca="1" si="45"/>
        <v>0.49697726641107437</v>
      </c>
      <c r="S88" s="11">
        <f t="shared" ca="1" si="45"/>
        <v>0.2827459739854386</v>
      </c>
      <c r="T88" s="10"/>
      <c r="U88" s="10"/>
      <c r="V88" s="10"/>
      <c r="W88" s="10"/>
      <c r="X88" s="10"/>
      <c r="Z88" s="60">
        <f ca="1">IF(neural_net!Z$12,0,MMULT($O88:$S88,V$14:V$18))</f>
        <v>0.6962424384644692</v>
      </c>
      <c r="AA88" s="60">
        <f ca="1">IF(neural_net!AA$12,0,MMULT($O88:$S88,W$14:W$18))</f>
        <v>-1.3796766263179467</v>
      </c>
      <c r="AB88" s="60">
        <f ca="1">IF(neural_net!AB$12,0,MMULT($O88:$S88,X$14:X$18))</f>
        <v>-0.6988559495649791</v>
      </c>
      <c r="AC88" s="58"/>
      <c r="AD88" s="60">
        <v>1</v>
      </c>
      <c r="AE88" s="60">
        <f t="shared" ca="1" si="49"/>
        <v>0.60197728661713568</v>
      </c>
      <c r="AF88" s="60">
        <f t="shared" ca="1" si="50"/>
        <v>-0.88087883600778194</v>
      </c>
      <c r="AG88" s="60">
        <f t="shared" ca="1" si="51"/>
        <v>-0.60364110088643119</v>
      </c>
      <c r="AH88" s="60">
        <f t="shared" ca="1" si="52"/>
        <v>0.71006614205740703</v>
      </c>
      <c r="AI88" s="60">
        <f t="shared" ca="1" si="53"/>
        <v>0.50034990296149395</v>
      </c>
      <c r="AJ88" s="60">
        <f t="shared" ca="1" si="54"/>
        <v>0.70879360757619625</v>
      </c>
      <c r="AK88" s="25"/>
      <c r="AL88" s="25"/>
      <c r="AM88" s="25"/>
      <c r="AN88" s="25"/>
      <c r="AP88" s="62">
        <f ca="1">IF(neural_net!AP$12,0,MMULT($AD88:$AG88,AM$14:AM$17))</f>
        <v>0.45920737797545252</v>
      </c>
      <c r="AQ88" s="62">
        <f ca="1">IF(neural_net!AQ$12,0,MMULT($AD88:$AG88,AN$14:AN$17))</f>
        <v>0.66912126186837106</v>
      </c>
      <c r="AR88" s="24"/>
      <c r="AS88" s="62">
        <v>1</v>
      </c>
      <c r="AT88" s="62">
        <f t="shared" ca="1" si="55"/>
        <v>0.45920737797545252</v>
      </c>
      <c r="AU88" s="62">
        <f t="shared" ca="1" si="56"/>
        <v>0.66912126186837106</v>
      </c>
      <c r="AV88" s="118">
        <f t="shared" ca="1" si="57"/>
        <v>1</v>
      </c>
      <c r="AW88" s="118">
        <f t="shared" ca="1" si="58"/>
        <v>1</v>
      </c>
      <c r="AX88" s="24"/>
      <c r="AY88" s="24"/>
      <c r="AZ88" s="24"/>
      <c r="BB88" s="65">
        <f t="shared" ca="1" si="59"/>
        <v>0.17533557807148822</v>
      </c>
      <c r="BC88" s="36"/>
      <c r="BD88" s="65">
        <f t="shared" ca="1" si="60"/>
        <v>0.54372194148190423</v>
      </c>
      <c r="BE88" s="65">
        <f t="shared" ca="1" si="61"/>
        <v>0.24808839183305295</v>
      </c>
      <c r="BF88" s="183">
        <f t="shared" ca="1" si="62"/>
        <v>0.11160849923859056</v>
      </c>
      <c r="BG88" s="183">
        <f t="shared" ca="1" si="63"/>
        <v>0.54372194148190423</v>
      </c>
    </row>
    <row r="89" spans="2:59">
      <c r="B89" s="1">
        <v>76</v>
      </c>
      <c r="C89" s="6">
        <v>-10.995215187520703</v>
      </c>
      <c r="D89" s="6">
        <v>-3.4790361725561603</v>
      </c>
      <c r="E89" s="6">
        <v>-21.586219039253439</v>
      </c>
      <c r="F89" s="6">
        <v>-5.4004060607660707</v>
      </c>
      <c r="G89" s="106">
        <f t="shared" si="64"/>
        <v>0.99943757266598543</v>
      </c>
      <c r="I89" s="72">
        <v>0.96555702887808048</v>
      </c>
      <c r="J89" s="10">
        <f t="shared" si="46"/>
        <v>5</v>
      </c>
      <c r="K89" s="10">
        <f t="shared" si="47"/>
        <v>8</v>
      </c>
      <c r="L89" s="10">
        <f t="shared" si="48"/>
        <v>0</v>
      </c>
      <c r="M89" s="10"/>
      <c r="N89" s="182">
        <f t="shared" ca="1" si="65"/>
        <v>4.618523192735426E-3</v>
      </c>
      <c r="O89" s="11">
        <v>1</v>
      </c>
      <c r="P89" s="11">
        <f t="shared" ca="1" si="45"/>
        <v>0.19597378524559717</v>
      </c>
      <c r="Q89" s="11">
        <f t="shared" ca="1" si="45"/>
        <v>0.64958390929488408</v>
      </c>
      <c r="R89" s="11">
        <f t="shared" ca="1" si="45"/>
        <v>0.49664608595517395</v>
      </c>
      <c r="S89" s="11">
        <f t="shared" ca="1" si="45"/>
        <v>6.4251889890466721E-2</v>
      </c>
      <c r="T89" s="10"/>
      <c r="U89" s="10"/>
      <c r="V89" s="10"/>
      <c r="W89" s="10"/>
      <c r="X89" s="10"/>
      <c r="Z89" s="60">
        <f ca="1">IF(neural_net!Z$12,0,MMULT($O89:$S89,V$14:V$18))</f>
        <v>0.79754818536561523</v>
      </c>
      <c r="AA89" s="60">
        <f ca="1">IF(neural_net!AA$12,0,MMULT($O89:$S89,W$14:W$18))</f>
        <v>-1.0240024558499696</v>
      </c>
      <c r="AB89" s="60">
        <f ca="1">IF(neural_net!AB$12,0,MMULT($O89:$S89,X$14:X$18))</f>
        <v>-0.69594146259585687</v>
      </c>
      <c r="AC89" s="58"/>
      <c r="AD89" s="60">
        <v>1</v>
      </c>
      <c r="AE89" s="60">
        <f t="shared" ca="1" si="49"/>
        <v>0.66266383811317864</v>
      </c>
      <c r="AF89" s="60">
        <f t="shared" ca="1" si="50"/>
        <v>-0.77149174174021751</v>
      </c>
      <c r="AG89" s="60">
        <f t="shared" ca="1" si="51"/>
        <v>-0.60178534260586392</v>
      </c>
      <c r="AH89" s="60">
        <f t="shared" ca="1" si="52"/>
        <v>0.66344517463353458</v>
      </c>
      <c r="AI89" s="60">
        <f t="shared" ca="1" si="53"/>
        <v>0.58036029717089233</v>
      </c>
      <c r="AJ89" s="60">
        <f t="shared" ca="1" si="54"/>
        <v>0.71021291389907693</v>
      </c>
      <c r="AK89" s="25"/>
      <c r="AL89" s="25"/>
      <c r="AM89" s="25"/>
      <c r="AN89" s="25"/>
      <c r="AP89" s="62">
        <f ca="1">IF(neural_net!AP$12,0,MMULT($AD89:$AG89,AM$14:AM$17))</f>
        <v>0.37282602962652578</v>
      </c>
      <c r="AQ89" s="62">
        <f ca="1">IF(neural_net!AQ$12,0,MMULT($AD89:$AG89,AN$14:AN$17))</f>
        <v>0.68087963587906042</v>
      </c>
      <c r="AR89" s="24"/>
      <c r="AS89" s="62">
        <v>1</v>
      </c>
      <c r="AT89" s="62">
        <f t="shared" ca="1" si="55"/>
        <v>0.37282602962652578</v>
      </c>
      <c r="AU89" s="62">
        <f t="shared" ca="1" si="56"/>
        <v>0.68087963587906042</v>
      </c>
      <c r="AV89" s="118">
        <f t="shared" ca="1" si="57"/>
        <v>1</v>
      </c>
      <c r="AW89" s="118">
        <f t="shared" ca="1" si="58"/>
        <v>1</v>
      </c>
      <c r="AX89" s="24"/>
      <c r="AY89" s="24"/>
      <c r="AZ89" s="24"/>
      <c r="BB89" s="65">
        <f t="shared" ca="1" si="59"/>
        <v>0.21526263695212647</v>
      </c>
      <c r="BC89" s="36"/>
      <c r="BD89" s="65">
        <f t="shared" ca="1" si="60"/>
        <v>0.55360880850914274</v>
      </c>
      <c r="BE89" s="65">
        <f t="shared" ca="1" si="61"/>
        <v>0.24712609565023005</v>
      </c>
      <c r="BF89" s="183">
        <f t="shared" ca="1" si="62"/>
        <v>4.618523192735426E-3</v>
      </c>
      <c r="BG89" s="183">
        <f t="shared" ca="1" si="63"/>
        <v>0.55360880850914274</v>
      </c>
    </row>
    <row r="90" spans="2:59">
      <c r="B90" s="1">
        <v>77</v>
      </c>
      <c r="C90" s="6">
        <v>-1.4038820328839521</v>
      </c>
      <c r="D90" s="6">
        <v>-3.1251948976122512</v>
      </c>
      <c r="E90" s="6">
        <v>3.9274598711643827</v>
      </c>
      <c r="F90" s="6">
        <v>4.9464574543996225</v>
      </c>
      <c r="G90" s="106">
        <f t="shared" si="64"/>
        <v>0.72124496815905526</v>
      </c>
      <c r="I90" s="72">
        <v>0.78970827989631054</v>
      </c>
      <c r="J90" s="10">
        <f t="shared" si="46"/>
        <v>19</v>
      </c>
      <c r="K90" s="10">
        <f t="shared" si="47"/>
        <v>8</v>
      </c>
      <c r="L90" s="10">
        <f t="shared" si="48"/>
        <v>0</v>
      </c>
      <c r="M90" s="10"/>
      <c r="N90" s="182">
        <f t="shared" ca="1" si="65"/>
        <v>0.53980429622157489</v>
      </c>
      <c r="O90" s="11">
        <v>1</v>
      </c>
      <c r="P90" s="11">
        <f t="shared" ca="1" si="45"/>
        <v>0.54904625600757118</v>
      </c>
      <c r="Q90" s="11">
        <f t="shared" ca="1" si="45"/>
        <v>0.71458374466147745</v>
      </c>
      <c r="R90" s="11">
        <f t="shared" ca="1" si="45"/>
        <v>0.36235276744016925</v>
      </c>
      <c r="S90" s="11">
        <f t="shared" ca="1" si="45"/>
        <v>0.6566227889457682</v>
      </c>
      <c r="T90" s="10"/>
      <c r="U90" s="10"/>
      <c r="V90" s="10"/>
      <c r="W90" s="10"/>
      <c r="X90" s="10"/>
      <c r="Z90" s="60">
        <f ca="1">IF(neural_net!Z$12,0,MMULT($O90:$S90,V$14:V$18))</f>
        <v>0.51974879336884361</v>
      </c>
      <c r="AA90" s="60">
        <f ca="1">IF(neural_net!AA$12,0,MMULT($O90:$S90,W$14:W$18))</f>
        <v>-1.8096437557178746</v>
      </c>
      <c r="AB90" s="60">
        <f ca="1">IF(neural_net!AB$12,0,MMULT($O90:$S90,X$14:X$18))</f>
        <v>-0.73484294449214937</v>
      </c>
      <c r="AC90" s="58"/>
      <c r="AD90" s="60">
        <v>1</v>
      </c>
      <c r="AE90" s="60">
        <f t="shared" ca="1" si="49"/>
        <v>0.4775061069479008</v>
      </c>
      <c r="AF90" s="60">
        <f t="shared" ca="1" si="50"/>
        <v>-0.94779563779544185</v>
      </c>
      <c r="AG90" s="60">
        <f t="shared" ca="1" si="51"/>
        <v>-0.6260192760205554</v>
      </c>
      <c r="AH90" s="60">
        <f t="shared" ca="1" si="52"/>
        <v>0.8026471676770639</v>
      </c>
      <c r="AI90" s="60">
        <f t="shared" ca="1" si="53"/>
        <v>0.45419899676399322</v>
      </c>
      <c r="AJ90" s="60">
        <f t="shared" ca="1" si="54"/>
        <v>0.69163625746254387</v>
      </c>
      <c r="AK90" s="25"/>
      <c r="AL90" s="25"/>
      <c r="AM90" s="25"/>
      <c r="AN90" s="25"/>
      <c r="AP90" s="62">
        <f ca="1">IF(neural_net!AP$12,0,MMULT($AD90:$AG90,AM$14:AM$17))</f>
        <v>0.55318284880596869</v>
      </c>
      <c r="AQ90" s="62">
        <f ca="1">IF(neural_net!AQ$12,0,MMULT($AD90:$AG90,AN$14:AN$17))</f>
        <v>0.61505629990110999</v>
      </c>
      <c r="AR90" s="24"/>
      <c r="AS90" s="62">
        <v>1</v>
      </c>
      <c r="AT90" s="62">
        <f t="shared" ca="1" si="55"/>
        <v>0.55318284880596869</v>
      </c>
      <c r="AU90" s="62">
        <f t="shared" ca="1" si="56"/>
        <v>0.61505629990110999</v>
      </c>
      <c r="AV90" s="118">
        <f t="shared" ca="1" si="57"/>
        <v>1</v>
      </c>
      <c r="AW90" s="118">
        <f t="shared" ca="1" si="58"/>
        <v>1</v>
      </c>
      <c r="AX90" s="24"/>
      <c r="AY90" s="24"/>
      <c r="AZ90" s="24"/>
      <c r="BB90" s="65">
        <f t="shared" ca="1" si="59"/>
        <v>0.12288634966443449</v>
      </c>
      <c r="BC90" s="36"/>
      <c r="BD90" s="65">
        <f t="shared" ca="1" si="60"/>
        <v>0.53068298501049671</v>
      </c>
      <c r="BE90" s="65">
        <f t="shared" ca="1" si="61"/>
        <v>0.24905855443084562</v>
      </c>
      <c r="BF90" s="183">
        <f t="shared" ca="1" si="62"/>
        <v>0.53980429622157489</v>
      </c>
      <c r="BG90" s="183">
        <f t="shared" ca="1" si="63"/>
        <v>0.53068298501049671</v>
      </c>
    </row>
    <row r="91" spans="2:59">
      <c r="B91" s="1">
        <v>78</v>
      </c>
      <c r="C91" s="6">
        <v>-6.3277205159908325</v>
      </c>
      <c r="D91" s="6">
        <v>9.7553100826061563</v>
      </c>
      <c r="E91" s="6">
        <v>-13.282065089798877</v>
      </c>
      <c r="F91" s="6">
        <v>6.7641645410037352</v>
      </c>
      <c r="G91" s="106">
        <f t="shared" si="64"/>
        <v>0.27605112216355943</v>
      </c>
      <c r="I91" s="72">
        <v>0.15110846993502369</v>
      </c>
      <c r="J91" s="10">
        <f t="shared" si="46"/>
        <v>81</v>
      </c>
      <c r="K91" s="10">
        <f t="shared" si="47"/>
        <v>8</v>
      </c>
      <c r="L91" s="10">
        <f t="shared" si="48"/>
        <v>0</v>
      </c>
      <c r="M91" s="10"/>
      <c r="N91" s="182">
        <f t="shared" ca="1" si="65"/>
        <v>3.3946796056097635E-2</v>
      </c>
      <c r="O91" s="11">
        <v>1</v>
      </c>
      <c r="P91" s="11">
        <f t="shared" ca="1" si="45"/>
        <v>0.54999221350581629</v>
      </c>
      <c r="Q91" s="11">
        <f t="shared" ca="1" si="45"/>
        <v>0.77265568652005756</v>
      </c>
      <c r="R91" s="11">
        <f t="shared" ca="1" si="45"/>
        <v>0.58501734242460524</v>
      </c>
      <c r="S91" s="11">
        <f t="shared" ca="1" si="45"/>
        <v>0.51621186413383613</v>
      </c>
      <c r="T91" s="10"/>
      <c r="U91" s="10"/>
      <c r="V91" s="10"/>
      <c r="W91" s="10"/>
      <c r="X91" s="10"/>
      <c r="Z91" s="60">
        <f ca="1">IF(neural_net!Z$12,0,MMULT($O91:$S91,V$14:V$18))</f>
        <v>0.63451347170339245</v>
      </c>
      <c r="AA91" s="60">
        <f ca="1">IF(neural_net!AA$12,0,MMULT($O91:$S91,W$14:W$18))</f>
        <v>-1.8111045939392099</v>
      </c>
      <c r="AB91" s="60">
        <f ca="1">IF(neural_net!AB$12,0,MMULT($O91:$S91,X$14:X$18))</f>
        <v>-0.77735828533231255</v>
      </c>
      <c r="AC91" s="58"/>
      <c r="AD91" s="60">
        <v>1</v>
      </c>
      <c r="AE91" s="60">
        <f t="shared" ca="1" si="49"/>
        <v>0.56115226233317006</v>
      </c>
      <c r="AF91" s="60">
        <f t="shared" ca="1" si="50"/>
        <v>-0.94794397534482178</v>
      </c>
      <c r="AG91" s="60">
        <f t="shared" ca="1" si="51"/>
        <v>-0.65118781510668888</v>
      </c>
      <c r="AH91" s="60">
        <f t="shared" ca="1" si="52"/>
        <v>0.74109013445649374</v>
      </c>
      <c r="AI91" s="60">
        <f t="shared" ca="1" si="53"/>
        <v>0.45409945240898797</v>
      </c>
      <c r="AJ91" s="60">
        <f t="shared" ca="1" si="54"/>
        <v>0.67227918398859121</v>
      </c>
      <c r="AK91" s="25"/>
      <c r="AL91" s="25"/>
      <c r="AM91" s="25"/>
      <c r="AN91" s="25"/>
      <c r="AP91" s="62">
        <f ca="1">IF(neural_net!AP$12,0,MMULT($AD91:$AG91,AM$14:AM$17))</f>
        <v>0.46234326909215218</v>
      </c>
      <c r="AQ91" s="62">
        <f ca="1">IF(neural_net!AQ$12,0,MMULT($AD91:$AG91,AN$14:AN$17))</f>
        <v>0.70436408110662818</v>
      </c>
      <c r="AR91" s="24"/>
      <c r="AS91" s="62">
        <v>1</v>
      </c>
      <c r="AT91" s="62">
        <f t="shared" ca="1" si="55"/>
        <v>0.46234326909215218</v>
      </c>
      <c r="AU91" s="62">
        <f t="shared" ca="1" si="56"/>
        <v>0.70436408110662818</v>
      </c>
      <c r="AV91" s="118">
        <f t="shared" ca="1" si="57"/>
        <v>1</v>
      </c>
      <c r="AW91" s="118">
        <f t="shared" ca="1" si="58"/>
        <v>1</v>
      </c>
      <c r="AX91" s="24"/>
      <c r="AY91" s="24"/>
      <c r="AZ91" s="24"/>
      <c r="BB91" s="65">
        <f t="shared" ca="1" si="59"/>
        <v>0.18167466897175572</v>
      </c>
      <c r="BC91" s="36"/>
      <c r="BD91" s="65">
        <f t="shared" ca="1" si="60"/>
        <v>0.54529415533356618</v>
      </c>
      <c r="BE91" s="65">
        <f t="shared" ca="1" si="61"/>
        <v>0.24794843949261877</v>
      </c>
      <c r="BF91" s="183">
        <f t="shared" ca="1" si="62"/>
        <v>3.3946796056097635E-2</v>
      </c>
      <c r="BG91" s="183">
        <f t="shared" ca="1" si="63"/>
        <v>0.54529415533356618</v>
      </c>
    </row>
    <row r="92" spans="2:59">
      <c r="B92" s="1">
        <v>79</v>
      </c>
      <c r="C92" s="6">
        <v>5.1316217528470869</v>
      </c>
      <c r="D92" s="6">
        <v>4.2677751056214319</v>
      </c>
      <c r="E92" s="6">
        <v>-3.383806807594008</v>
      </c>
      <c r="F92" s="6">
        <v>7.7967847250499336</v>
      </c>
      <c r="G92" s="106">
        <f t="shared" si="64"/>
        <v>0.9786314429408568</v>
      </c>
      <c r="I92" s="72">
        <v>0.48031700556917223</v>
      </c>
      <c r="J92" s="10">
        <f t="shared" si="46"/>
        <v>52</v>
      </c>
      <c r="K92" s="10">
        <f t="shared" si="47"/>
        <v>8</v>
      </c>
      <c r="L92" s="10">
        <f t="shared" si="48"/>
        <v>0</v>
      </c>
      <c r="M92" s="10"/>
      <c r="N92" s="182">
        <f t="shared" ca="1" si="65"/>
        <v>0.54619194802875759</v>
      </c>
      <c r="O92" s="11">
        <v>1</v>
      </c>
      <c r="P92" s="11">
        <f t="shared" ca="1" si="45"/>
        <v>0.61310438598277017</v>
      </c>
      <c r="Q92" s="11">
        <f t="shared" ca="1" si="45"/>
        <v>0.61201491225150906</v>
      </c>
      <c r="R92" s="11">
        <f t="shared" ca="1" si="45"/>
        <v>6.5216836718028678E-2</v>
      </c>
      <c r="S92" s="11">
        <f t="shared" ca="1" si="45"/>
        <v>0.23110025708508011</v>
      </c>
      <c r="T92" s="10"/>
      <c r="U92" s="10"/>
      <c r="V92" s="10"/>
      <c r="W92" s="10"/>
      <c r="X92" s="10"/>
      <c r="Z92" s="60">
        <f ca="1">IF(neural_net!Z$12,0,MMULT($O92:$S92,V$14:V$18))</f>
        <v>0.61236247089936291</v>
      </c>
      <c r="AA92" s="60">
        <f ca="1">IF(neural_net!AA$12,0,MMULT($O92:$S92,W$14:W$18))</f>
        <v>-1.3594441001860738</v>
      </c>
      <c r="AB92" s="60">
        <f ca="1">IF(neural_net!AB$12,0,MMULT($O92:$S92,X$14:X$18))</f>
        <v>-0.13857477541340893</v>
      </c>
      <c r="AC92" s="58"/>
      <c r="AD92" s="60">
        <v>1</v>
      </c>
      <c r="AE92" s="60">
        <f t="shared" ca="1" si="49"/>
        <v>0.5457879647286783</v>
      </c>
      <c r="AF92" s="60">
        <f t="shared" ca="1" si="50"/>
        <v>-0.87626407191150435</v>
      </c>
      <c r="AG92" s="60">
        <f t="shared" ca="1" si="51"/>
        <v>-0.13769452052151404</v>
      </c>
      <c r="AH92" s="60">
        <f t="shared" ca="1" si="52"/>
        <v>0.75263628665873195</v>
      </c>
      <c r="AI92" s="60">
        <f t="shared" ca="1" si="53"/>
        <v>0.50361946792708046</v>
      </c>
      <c r="AJ92" s="60">
        <f t="shared" ca="1" si="54"/>
        <v>0.98127731832122467</v>
      </c>
      <c r="AK92" s="25"/>
      <c r="AL92" s="25"/>
      <c r="AM92" s="25"/>
      <c r="AN92" s="25"/>
      <c r="AP92" s="62">
        <f ca="1">IF(neural_net!AP$12,0,MMULT($AD92:$AG92,AM$14:AM$17))</f>
        <v>1.0266542901791489</v>
      </c>
      <c r="AQ92" s="62">
        <f ca="1">IF(neural_net!AQ$12,0,MMULT($AD92:$AG92,AN$14:AN$17))</f>
        <v>0.16991076764781091</v>
      </c>
      <c r="AR92" s="24"/>
      <c r="AS92" s="62">
        <v>1</v>
      </c>
      <c r="AT92" s="62">
        <f t="shared" ca="1" si="55"/>
        <v>1.0266542901791489</v>
      </c>
      <c r="AU92" s="62">
        <f t="shared" ca="1" si="56"/>
        <v>0.16991076764781091</v>
      </c>
      <c r="AV92" s="118">
        <f t="shared" ca="1" si="57"/>
        <v>1</v>
      </c>
      <c r="AW92" s="118">
        <f t="shared" ca="1" si="58"/>
        <v>1</v>
      </c>
      <c r="AX92" s="24"/>
      <c r="AY92" s="24"/>
      <c r="AZ92" s="24"/>
      <c r="BB92" s="65">
        <f t="shared" ca="1" si="59"/>
        <v>-0.17908673131066422</v>
      </c>
      <c r="BC92" s="36"/>
      <c r="BD92" s="65">
        <f t="shared" ca="1" si="60"/>
        <v>0.45534759463777036</v>
      </c>
      <c r="BE92" s="65">
        <f t="shared" ca="1" si="61"/>
        <v>0.24800616269536715</v>
      </c>
      <c r="BF92" s="183">
        <f t="shared" ca="1" si="62"/>
        <v>0.54619194802875759</v>
      </c>
      <c r="BG92" s="183">
        <f t="shared" ca="1" si="63"/>
        <v>0.45534759463777036</v>
      </c>
    </row>
    <row r="93" spans="2:59">
      <c r="B93" s="1">
        <v>80</v>
      </c>
      <c r="C93" s="6">
        <v>8.0671435339319171</v>
      </c>
      <c r="D93" s="6">
        <v>7.614699518283075</v>
      </c>
      <c r="E93" s="6">
        <v>-10.298033406493953</v>
      </c>
      <c r="F93" s="6">
        <v>6.6986734311117191</v>
      </c>
      <c r="G93" s="106">
        <f t="shared" si="64"/>
        <v>0.98105175135668654</v>
      </c>
      <c r="I93" s="72">
        <v>0.99631193320893674</v>
      </c>
      <c r="J93" s="10">
        <f t="shared" si="46"/>
        <v>1</v>
      </c>
      <c r="K93" s="10">
        <f t="shared" si="47"/>
        <v>8</v>
      </c>
      <c r="L93" s="10">
        <f t="shared" si="48"/>
        <v>0</v>
      </c>
      <c r="M93" s="10"/>
      <c r="N93" s="182">
        <f t="shared" ca="1" si="65"/>
        <v>0.47119355189072681</v>
      </c>
      <c r="O93" s="11">
        <v>1</v>
      </c>
      <c r="P93" s="11">
        <f t="shared" ca="1" si="45"/>
        <v>0.64697853743941403</v>
      </c>
      <c r="Q93" s="11">
        <f t="shared" ca="1" si="45"/>
        <v>0.31859117699922368</v>
      </c>
      <c r="R93" s="11">
        <f t="shared" ca="1" si="45"/>
        <v>0.32468887230848087</v>
      </c>
      <c r="S93" s="11">
        <f t="shared" ca="1" si="45"/>
        <v>0.59511943063786732</v>
      </c>
      <c r="T93" s="10"/>
      <c r="U93" s="10"/>
      <c r="V93" s="10"/>
      <c r="W93" s="10"/>
      <c r="X93" s="10"/>
      <c r="Z93" s="60">
        <f ca="1">IF(neural_net!Z$12,0,MMULT($O93:$S93,V$14:V$18))</f>
        <v>0.29671999104756919</v>
      </c>
      <c r="AA93" s="60">
        <f ca="1">IF(neural_net!AA$12,0,MMULT($O93:$S93,W$14:W$18))</f>
        <v>-1.5026439541065477</v>
      </c>
      <c r="AB93" s="60">
        <f ca="1">IF(neural_net!AB$12,0,MMULT($O93:$S93,X$14:X$18))</f>
        <v>-0.67876125439122004</v>
      </c>
      <c r="AC93" s="58"/>
      <c r="AD93" s="60">
        <v>1</v>
      </c>
      <c r="AE93" s="60">
        <f t="shared" ca="1" si="49"/>
        <v>0.28830809495831938</v>
      </c>
      <c r="AF93" s="60">
        <f t="shared" ca="1" si="50"/>
        <v>-0.90562489191765772</v>
      </c>
      <c r="AG93" s="60">
        <f t="shared" ca="1" si="51"/>
        <v>-0.59071349085162961</v>
      </c>
      <c r="AH93" s="60">
        <f t="shared" ca="1" si="52"/>
        <v>0.92127663620786482</v>
      </c>
      <c r="AI93" s="60">
        <f t="shared" ca="1" si="53"/>
        <v>0.48300203090107463</v>
      </c>
      <c r="AJ93" s="60">
        <f t="shared" ca="1" si="54"/>
        <v>0.71866675553257098</v>
      </c>
      <c r="AK93" s="25"/>
      <c r="AL93" s="25"/>
      <c r="AM93" s="25"/>
      <c r="AN93" s="25"/>
      <c r="AP93" s="62">
        <f ca="1">IF(neural_net!AP$12,0,MMULT($AD93:$AG93,AM$14:AM$17))</f>
        <v>0.71765798850005325</v>
      </c>
      <c r="AQ93" s="62">
        <f ca="1">IF(neural_net!AQ$12,0,MMULT($AD93:$AG93,AN$14:AN$17))</f>
        <v>0.42136603991215071</v>
      </c>
      <c r="AR93" s="24"/>
      <c r="AS93" s="62">
        <v>1</v>
      </c>
      <c r="AT93" s="62">
        <f t="shared" ca="1" si="55"/>
        <v>0.71765798850005325</v>
      </c>
      <c r="AU93" s="62">
        <f t="shared" ca="1" si="56"/>
        <v>0.42136603991215071</v>
      </c>
      <c r="AV93" s="118">
        <f t="shared" ca="1" si="57"/>
        <v>1</v>
      </c>
      <c r="AW93" s="118">
        <f t="shared" ca="1" si="58"/>
        <v>1</v>
      </c>
      <c r="AX93" s="24"/>
      <c r="AY93" s="24"/>
      <c r="AZ93" s="24"/>
      <c r="BB93" s="65">
        <f t="shared" ca="1" si="59"/>
        <v>9.4587861621707042E-3</v>
      </c>
      <c r="BC93" s="36"/>
      <c r="BD93" s="65">
        <f t="shared" ca="1" si="60"/>
        <v>0.50236467891018599</v>
      </c>
      <c r="BE93" s="65">
        <f t="shared" ca="1" si="61"/>
        <v>0.24999440829365172</v>
      </c>
      <c r="BF93" s="183">
        <f t="shared" ca="1" si="62"/>
        <v>0.47119355189072681</v>
      </c>
      <c r="BG93" s="183">
        <f t="shared" ca="1" si="63"/>
        <v>0.50236467891018599</v>
      </c>
    </row>
    <row r="94" spans="2:59">
      <c r="B94" s="1">
        <v>81</v>
      </c>
      <c r="C94" s="6">
        <v>-0.52036102734743506</v>
      </c>
      <c r="D94" s="6">
        <v>14.837886612650358</v>
      </c>
      <c r="E94" s="6">
        <v>6.4370764774002662</v>
      </c>
      <c r="F94" s="6">
        <v>0.99239121324513957</v>
      </c>
      <c r="G94" s="106">
        <f t="shared" si="64"/>
        <v>3.3946796056097635E-2</v>
      </c>
      <c r="I94" s="72">
        <v>0.36837531182409489</v>
      </c>
      <c r="J94" s="10">
        <f t="shared" si="46"/>
        <v>62</v>
      </c>
      <c r="K94" s="10">
        <f t="shared" si="47"/>
        <v>9</v>
      </c>
      <c r="L94" s="10">
        <f t="shared" si="48"/>
        <v>0</v>
      </c>
      <c r="M94" s="10"/>
      <c r="N94" s="182">
        <f t="shared" ca="1" si="65"/>
        <v>0.21697105721113558</v>
      </c>
      <c r="O94" s="11">
        <v>1</v>
      </c>
      <c r="P94" s="11">
        <f t="shared" ref="P94:S113" ca="1" si="66">(INDEX(INDIRECT(P$13),$J94,1)-MIN(INDIRECT(P$13)))/(MAX(INDIRECT(P$13))-MIN(INDIRECT(P$13)))</f>
        <v>0.65008583005566856</v>
      </c>
      <c r="Q94" s="11">
        <f t="shared" ca="1" si="66"/>
        <v>0.22786755132640218</v>
      </c>
      <c r="R94" s="11">
        <f t="shared" ca="1" si="66"/>
        <v>0.26407100149853385</v>
      </c>
      <c r="S94" s="11">
        <f t="shared" ca="1" si="66"/>
        <v>0.34268226288525022</v>
      </c>
      <c r="T94" s="10"/>
      <c r="U94" s="10"/>
      <c r="V94" s="10"/>
      <c r="W94" s="10"/>
      <c r="X94" s="10"/>
      <c r="Z94" s="60">
        <f ca="1">IF(neural_net!Z$12,0,MMULT($O94:$S94,V$14:V$18))</f>
        <v>0.34824667782691854</v>
      </c>
      <c r="AA94" s="60">
        <f ca="1">IF(neural_net!AA$12,0,MMULT($O94:$S94,W$14:W$18))</f>
        <v>-1.2132527361570056</v>
      </c>
      <c r="AB94" s="60">
        <f ca="1">IF(neural_net!AB$12,0,MMULT($O94:$S94,X$14:X$18))</f>
        <v>-0.45301254935715363</v>
      </c>
      <c r="AC94" s="58"/>
      <c r="AD94" s="60">
        <v>1</v>
      </c>
      <c r="AE94" s="60">
        <f t="shared" ca="1" si="49"/>
        <v>0.33481969194104405</v>
      </c>
      <c r="AF94" s="60">
        <f t="shared" ca="1" si="50"/>
        <v>-0.83765255236941383</v>
      </c>
      <c r="AG94" s="60">
        <f t="shared" ca="1" si="51"/>
        <v>-0.42437217366719238</v>
      </c>
      <c r="AH94" s="60">
        <f t="shared" ca="1" si="52"/>
        <v>0.8957712266944754</v>
      </c>
      <c r="AI94" s="60">
        <f t="shared" ca="1" si="53"/>
        <v>0.53137254534031353</v>
      </c>
      <c r="AJ94" s="60">
        <f t="shared" ca="1" si="54"/>
        <v>0.83951375216152913</v>
      </c>
      <c r="AK94" s="25"/>
      <c r="AL94" s="25"/>
      <c r="AM94" s="25"/>
      <c r="AN94" s="25"/>
      <c r="AP94" s="62">
        <f ca="1">IF(neural_net!AP$12,0,MMULT($AD94:$AG94,AM$14:AM$17))</f>
        <v>0.84436864011871549</v>
      </c>
      <c r="AQ94" s="62">
        <f ca="1">IF(neural_net!AQ$12,0,MMULT($AD94:$AG94,AN$14:AN$17))</f>
        <v>0.27441466609469584</v>
      </c>
      <c r="AR94" s="24"/>
      <c r="AS94" s="62">
        <v>1</v>
      </c>
      <c r="AT94" s="62">
        <f t="shared" ca="1" si="55"/>
        <v>0.84436864011871549</v>
      </c>
      <c r="AU94" s="62">
        <f t="shared" ca="1" si="56"/>
        <v>0.27441466609469584</v>
      </c>
      <c r="AV94" s="118">
        <f t="shared" ca="1" si="57"/>
        <v>1</v>
      </c>
      <c r="AW94" s="118">
        <f t="shared" ca="1" si="58"/>
        <v>1</v>
      </c>
      <c r="AX94" s="24"/>
      <c r="AY94" s="24"/>
      <c r="AZ94" s="24"/>
      <c r="BB94" s="65">
        <f t="shared" ca="1" si="59"/>
        <v>-7.7430241729406157E-2</v>
      </c>
      <c r="BC94" s="36"/>
      <c r="BD94" s="65">
        <f t="shared" ca="1" si="60"/>
        <v>0.48065210520082391</v>
      </c>
      <c r="BE94" s="65">
        <f t="shared" ca="1" si="61"/>
        <v>0.24962565896684002</v>
      </c>
      <c r="BF94" s="183">
        <f t="shared" ca="1" si="62"/>
        <v>0.21697105721113558</v>
      </c>
      <c r="BG94" s="183">
        <f t="shared" ca="1" si="63"/>
        <v>0.48065210520082391</v>
      </c>
    </row>
    <row r="95" spans="2:59">
      <c r="B95" s="1">
        <v>82</v>
      </c>
      <c r="C95" s="6">
        <v>6.3966135432763229</v>
      </c>
      <c r="D95" s="6">
        <v>0.80545288570765217</v>
      </c>
      <c r="E95" s="6">
        <v>-2.2142470797353129</v>
      </c>
      <c r="F95" s="6">
        <v>-3.6373865338716636</v>
      </c>
      <c r="G95" s="106">
        <f t="shared" si="64"/>
        <v>0.99999999993902366</v>
      </c>
      <c r="I95" s="72">
        <v>0.80496907292232556</v>
      </c>
      <c r="J95" s="10">
        <f t="shared" si="46"/>
        <v>16</v>
      </c>
      <c r="K95" s="10">
        <f t="shared" si="47"/>
        <v>9</v>
      </c>
      <c r="L95" s="10">
        <f t="shared" si="48"/>
        <v>0</v>
      </c>
      <c r="M95" s="10"/>
      <c r="N95" s="182">
        <f t="shared" ca="1" si="65"/>
        <v>0.9999999365112282</v>
      </c>
      <c r="O95" s="11">
        <v>1</v>
      </c>
      <c r="P95" s="11">
        <f t="shared" ca="1" si="66"/>
        <v>0.7238857221538485</v>
      </c>
      <c r="Q95" s="11">
        <f t="shared" ca="1" si="66"/>
        <v>0.53758688899209428</v>
      </c>
      <c r="R95" s="11">
        <f t="shared" ca="1" si="66"/>
        <v>0.84786024027959617</v>
      </c>
      <c r="S95" s="11">
        <f t="shared" ca="1" si="66"/>
        <v>0.19337972323689748</v>
      </c>
      <c r="T95" s="10"/>
      <c r="U95" s="10"/>
      <c r="V95" s="10"/>
      <c r="W95" s="10"/>
      <c r="X95" s="10"/>
      <c r="Z95" s="60">
        <f ca="1">IF(neural_net!Z$12,0,MMULT($O95:$S95,V$14:V$18))</f>
        <v>0.63723253418568204</v>
      </c>
      <c r="AA95" s="60">
        <f ca="1">IF(neural_net!AA$12,0,MMULT($O95:$S95,W$14:W$18))</f>
        <v>-1.5824933233647762</v>
      </c>
      <c r="AB95" s="60">
        <f ca="1">IF(neural_net!AB$12,0,MMULT($O95:$S95,X$14:X$18))</f>
        <v>-0.63270452519435127</v>
      </c>
      <c r="AC95" s="58"/>
      <c r="AD95" s="60">
        <v>1</v>
      </c>
      <c r="AE95" s="60">
        <f t="shared" ca="1" si="49"/>
        <v>0.56301227156786271</v>
      </c>
      <c r="AF95" s="60">
        <f t="shared" ca="1" si="50"/>
        <v>-0.91899038597066474</v>
      </c>
      <c r="AG95" s="60">
        <f t="shared" ca="1" si="51"/>
        <v>-0.55991168040313177</v>
      </c>
      <c r="AH95" s="60">
        <f t="shared" ca="1" si="52"/>
        <v>0.73968678318344883</v>
      </c>
      <c r="AI95" s="60">
        <f t="shared" ca="1" si="53"/>
        <v>0.47376663079268522</v>
      </c>
      <c r="AJ95" s="60">
        <f t="shared" ca="1" si="54"/>
        <v>0.74202550138674406</v>
      </c>
      <c r="AK95" s="25"/>
      <c r="AL95" s="25"/>
      <c r="AM95" s="25"/>
      <c r="AN95" s="25"/>
      <c r="AP95" s="62">
        <f ca="1">IF(neural_net!AP$12,0,MMULT($AD95:$AG95,AM$14:AM$17))</f>
        <v>0.55282424491842452</v>
      </c>
      <c r="AQ95" s="62">
        <f ca="1">IF(neural_net!AQ$12,0,MMULT($AD95:$AG95,AN$14:AN$17))</f>
        <v>0.60796608117239415</v>
      </c>
      <c r="AR95" s="24"/>
      <c r="AS95" s="62">
        <v>1</v>
      </c>
      <c r="AT95" s="62">
        <f t="shared" ca="1" si="55"/>
        <v>0.55282424491842452</v>
      </c>
      <c r="AU95" s="62">
        <f t="shared" ca="1" si="56"/>
        <v>0.60796608117239415</v>
      </c>
      <c r="AV95" s="118">
        <f t="shared" ca="1" si="57"/>
        <v>1</v>
      </c>
      <c r="AW95" s="118">
        <f t="shared" ca="1" si="58"/>
        <v>1</v>
      </c>
      <c r="AX95" s="24"/>
      <c r="AY95" s="24"/>
      <c r="AZ95" s="24"/>
      <c r="BB95" s="65">
        <f t="shared" ca="1" si="59"/>
        <v>0.12149327870919374</v>
      </c>
      <c r="BC95" s="36"/>
      <c r="BD95" s="65">
        <f t="shared" ca="1" si="60"/>
        <v>0.53033601399749564</v>
      </c>
      <c r="BE95" s="65">
        <f t="shared" ca="1" si="61"/>
        <v>0.24907972625474376</v>
      </c>
      <c r="BF95" s="183">
        <f t="shared" ca="1" si="62"/>
        <v>0.9999999365112282</v>
      </c>
      <c r="BG95" s="183">
        <f t="shared" ca="1" si="63"/>
        <v>0.53033601399749564</v>
      </c>
    </row>
    <row r="96" spans="2:59">
      <c r="B96" s="1">
        <v>83</v>
      </c>
      <c r="C96" s="6">
        <v>-4.1934283057714445</v>
      </c>
      <c r="D96" s="6">
        <v>9.1650509993106439</v>
      </c>
      <c r="E96" s="6">
        <v>-18.329215250092432</v>
      </c>
      <c r="F96" s="6">
        <v>7.9210885810373757</v>
      </c>
      <c r="G96" s="106">
        <f t="shared" si="64"/>
        <v>0.44629589863704638</v>
      </c>
      <c r="I96" s="72">
        <v>0.32137199219460155</v>
      </c>
      <c r="J96" s="10">
        <f t="shared" si="46"/>
        <v>66</v>
      </c>
      <c r="K96" s="10">
        <f t="shared" si="47"/>
        <v>9</v>
      </c>
      <c r="L96" s="10">
        <f t="shared" si="48"/>
        <v>0</v>
      </c>
      <c r="M96" s="10"/>
      <c r="N96" s="182">
        <f t="shared" ca="1" si="65"/>
        <v>0.81811936627628346</v>
      </c>
      <c r="O96" s="11">
        <v>1</v>
      </c>
      <c r="P96" s="11">
        <f t="shared" ca="1" si="66"/>
        <v>0.81179515571023753</v>
      </c>
      <c r="Q96" s="11">
        <f t="shared" ca="1" si="66"/>
        <v>0.82150221928470191</v>
      </c>
      <c r="R96" s="11">
        <f t="shared" ca="1" si="66"/>
        <v>0.41631743602515364</v>
      </c>
      <c r="S96" s="11">
        <f t="shared" ca="1" si="66"/>
        <v>0.26602980725541614</v>
      </c>
      <c r="T96" s="10"/>
      <c r="U96" s="10"/>
      <c r="V96" s="10"/>
      <c r="W96" s="10"/>
      <c r="X96" s="10"/>
      <c r="Z96" s="60">
        <f ca="1">IF(neural_net!Z$12,0,MMULT($O96:$S96,V$14:V$18))</f>
        <v>0.72553474989178335</v>
      </c>
      <c r="AA96" s="60">
        <f ca="1">IF(neural_net!AA$12,0,MMULT($O96:$S96,W$14:W$18))</f>
        <v>-1.8312840112079161</v>
      </c>
      <c r="AB96" s="60">
        <f ca="1">IF(neural_net!AB$12,0,MMULT($O96:$S96,X$14:X$18))</f>
        <v>-0.20323335943762902</v>
      </c>
      <c r="AC96" s="58"/>
      <c r="AD96" s="60">
        <v>1</v>
      </c>
      <c r="AE96" s="60">
        <f t="shared" ca="1" si="49"/>
        <v>0.6203259529422962</v>
      </c>
      <c r="AF96" s="60">
        <f t="shared" ca="1" si="50"/>
        <v>-0.94995153797525578</v>
      </c>
      <c r="AG96" s="60">
        <f t="shared" ca="1" si="51"/>
        <v>-0.20048072497808397</v>
      </c>
      <c r="AH96" s="60">
        <f t="shared" ca="1" si="52"/>
        <v>0.69600773556506679</v>
      </c>
      <c r="AI96" s="60">
        <f t="shared" ca="1" si="53"/>
        <v>0.45275349908210971</v>
      </c>
      <c r="AJ96" s="60">
        <f t="shared" ca="1" si="54"/>
        <v>0.96086041312521964</v>
      </c>
      <c r="AK96" s="25"/>
      <c r="AL96" s="25"/>
      <c r="AM96" s="25"/>
      <c r="AN96" s="25"/>
      <c r="AP96" s="62">
        <f ca="1">IF(neural_net!AP$12,0,MMULT($AD96:$AG96,AM$14:AM$17))</f>
        <v>0.92907895434388266</v>
      </c>
      <c r="AQ96" s="62">
        <f ca="1">IF(neural_net!AQ$12,0,MMULT($AD96:$AG96,AN$14:AN$17))</f>
        <v>0.31129715924770796</v>
      </c>
      <c r="AR96" s="24"/>
      <c r="AS96" s="62">
        <v>1</v>
      </c>
      <c r="AT96" s="62">
        <f t="shared" ca="1" si="55"/>
        <v>0.92907895434388266</v>
      </c>
      <c r="AU96" s="62">
        <f t="shared" ca="1" si="56"/>
        <v>0.31129715924770796</v>
      </c>
      <c r="AV96" s="118">
        <f t="shared" ca="1" si="57"/>
        <v>1</v>
      </c>
      <c r="AW96" s="118">
        <f t="shared" ca="1" si="58"/>
        <v>1</v>
      </c>
      <c r="AX96" s="24"/>
      <c r="AY96" s="24"/>
      <c r="AZ96" s="24"/>
      <c r="BB96" s="65">
        <f t="shared" ca="1" si="59"/>
        <v>-0.10601373874544805</v>
      </c>
      <c r="BC96" s="36"/>
      <c r="BD96" s="65">
        <f t="shared" ca="1" si="60"/>
        <v>0.47352135993017536</v>
      </c>
      <c r="BE96" s="65">
        <f t="shared" ca="1" si="61"/>
        <v>0.2492988816200527</v>
      </c>
      <c r="BF96" s="183">
        <f t="shared" ca="1" si="62"/>
        <v>0.81811936627628346</v>
      </c>
      <c r="BG96" s="183">
        <f t="shared" ca="1" si="63"/>
        <v>0.47352135993017536</v>
      </c>
    </row>
    <row r="97" spans="2:59">
      <c r="B97" s="1">
        <v>84</v>
      </c>
      <c r="C97" s="6">
        <v>-10.831293563972753</v>
      </c>
      <c r="D97" s="6">
        <v>3.9109940355319428</v>
      </c>
      <c r="E97" s="6">
        <v>-14.493059441671486</v>
      </c>
      <c r="F97" s="6">
        <v>-11.759650960484166</v>
      </c>
      <c r="G97" s="106">
        <f t="shared" si="64"/>
        <v>1.3306190791124853E-4</v>
      </c>
      <c r="I97" s="72">
        <v>0.74209446928105682</v>
      </c>
      <c r="J97" s="10">
        <f t="shared" si="46"/>
        <v>23</v>
      </c>
      <c r="K97" s="10">
        <f t="shared" si="47"/>
        <v>9</v>
      </c>
      <c r="L97" s="10">
        <f t="shared" si="48"/>
        <v>0</v>
      </c>
      <c r="M97" s="10"/>
      <c r="N97" s="182">
        <f t="shared" ca="1" si="65"/>
        <v>0.99999999999999978</v>
      </c>
      <c r="O97" s="11">
        <v>1</v>
      </c>
      <c r="P97" s="11">
        <f t="shared" ca="1" si="66"/>
        <v>0.24868512357976602</v>
      </c>
      <c r="Q97" s="11">
        <f t="shared" ca="1" si="66"/>
        <v>0.50060289586756312</v>
      </c>
      <c r="R97" s="11">
        <f t="shared" ca="1" si="66"/>
        <v>0.68883685275691842</v>
      </c>
      <c r="S97" s="11">
        <f t="shared" ca="1" si="66"/>
        <v>0.25189012674511385</v>
      </c>
      <c r="T97" s="10"/>
      <c r="U97" s="10"/>
      <c r="V97" s="10"/>
      <c r="W97" s="10"/>
      <c r="X97" s="10"/>
      <c r="Z97" s="60">
        <f ca="1">IF(neural_net!Z$12,0,MMULT($O97:$S97,V$14:V$18))</f>
        <v>0.63666429602709296</v>
      </c>
      <c r="AA97" s="60">
        <f ca="1">IF(neural_net!AA$12,0,MMULT($O97:$S97,W$14:W$18))</f>
        <v>-1.1463277093614395</v>
      </c>
      <c r="AB97" s="60">
        <f ca="1">IF(neural_net!AB$12,0,MMULT($O97:$S97,X$14:X$18))</f>
        <v>-0.98752453899352244</v>
      </c>
      <c r="AC97" s="58"/>
      <c r="AD97" s="60">
        <v>1</v>
      </c>
      <c r="AE97" s="60">
        <f t="shared" ca="1" si="49"/>
        <v>0.56262403097593561</v>
      </c>
      <c r="AF97" s="60">
        <f t="shared" ca="1" si="50"/>
        <v>-0.81653386904842951</v>
      </c>
      <c r="AG97" s="60">
        <f t="shared" ca="1" si="51"/>
        <v>-0.75630480141969225</v>
      </c>
      <c r="AH97" s="60">
        <f t="shared" ca="1" si="52"/>
        <v>0.73997979872285113</v>
      </c>
      <c r="AI97" s="60">
        <f t="shared" ca="1" si="53"/>
        <v>0.54683015550464797</v>
      </c>
      <c r="AJ97" s="60">
        <f t="shared" ca="1" si="54"/>
        <v>0.59181285215170254</v>
      </c>
      <c r="AK97" s="25"/>
      <c r="AL97" s="25"/>
      <c r="AM97" s="25"/>
      <c r="AN97" s="25"/>
      <c r="AP97" s="62">
        <f ca="1">IF(neural_net!AP$12,0,MMULT($AD97:$AG97,AM$14:AM$17))</f>
        <v>0.29037970503571675</v>
      </c>
      <c r="AQ97" s="62">
        <f ca="1">IF(neural_net!AQ$12,0,MMULT($AD97:$AG97,AN$14:AN$17))</f>
        <v>0.76788714170899885</v>
      </c>
      <c r="AR97" s="24"/>
      <c r="AS97" s="62">
        <v>1</v>
      </c>
      <c r="AT97" s="62">
        <f t="shared" ca="1" si="55"/>
        <v>0.29037970503571675</v>
      </c>
      <c r="AU97" s="62">
        <f t="shared" ca="1" si="56"/>
        <v>0.76788714170899885</v>
      </c>
      <c r="AV97" s="118">
        <f t="shared" ca="1" si="57"/>
        <v>1</v>
      </c>
      <c r="AW97" s="118">
        <f t="shared" ca="1" si="58"/>
        <v>1</v>
      </c>
      <c r="AX97" s="24"/>
      <c r="AY97" s="24"/>
      <c r="AZ97" s="24"/>
      <c r="BB97" s="65">
        <f t="shared" ca="1" si="59"/>
        <v>0.2699186362343704</v>
      </c>
      <c r="BC97" s="36"/>
      <c r="BD97" s="65">
        <f t="shared" ca="1" si="60"/>
        <v>0.56707293017058213</v>
      </c>
      <c r="BE97" s="65">
        <f t="shared" ca="1" si="61"/>
        <v>0.24550122203833222</v>
      </c>
      <c r="BF97" s="183">
        <f t="shared" ca="1" si="62"/>
        <v>0.99999999999999978</v>
      </c>
      <c r="BG97" s="183">
        <f t="shared" ca="1" si="63"/>
        <v>0.56707293017058213</v>
      </c>
    </row>
    <row r="98" spans="2:59">
      <c r="B98" s="1">
        <v>85</v>
      </c>
      <c r="C98" s="6">
        <v>-4.1507571961789571</v>
      </c>
      <c r="D98" s="6">
        <v>1.6016032763501553</v>
      </c>
      <c r="E98" s="6">
        <v>5.8444843727618947</v>
      </c>
      <c r="F98" s="6">
        <v>-12.055484500285816</v>
      </c>
      <c r="G98" s="106">
        <f t="shared" si="64"/>
        <v>5.3512252916786422E-4</v>
      </c>
      <c r="I98" s="72">
        <v>0.16811427403375279</v>
      </c>
      <c r="J98" s="10">
        <f t="shared" si="46"/>
        <v>79</v>
      </c>
      <c r="K98" s="10">
        <f t="shared" si="47"/>
        <v>9</v>
      </c>
      <c r="L98" s="10">
        <f t="shared" si="48"/>
        <v>0</v>
      </c>
      <c r="M98" s="10"/>
      <c r="N98" s="182">
        <f t="shared" ca="1" si="65"/>
        <v>0.9786314429408568</v>
      </c>
      <c r="O98" s="11">
        <v>1</v>
      </c>
      <c r="P98" s="11">
        <f t="shared" ca="1" si="66"/>
        <v>0.69962618666657495</v>
      </c>
      <c r="Q98" s="11">
        <f t="shared" ca="1" si="66"/>
        <v>0.59117179430376898</v>
      </c>
      <c r="R98" s="11">
        <f t="shared" ca="1" si="66"/>
        <v>0.3799955227661998</v>
      </c>
      <c r="S98" s="11">
        <f t="shared" ca="1" si="66"/>
        <v>0.67716156280669104</v>
      </c>
      <c r="T98" s="10"/>
      <c r="U98" s="10"/>
      <c r="V98" s="10"/>
      <c r="W98" s="10"/>
      <c r="X98" s="10"/>
      <c r="Z98" s="60">
        <f ca="1">IF(neural_net!Z$12,0,MMULT($O98:$S98,V$14:V$18))</f>
        <v>0.42003035831379526</v>
      </c>
      <c r="AA98" s="60">
        <f ca="1">IF(neural_net!AA$12,0,MMULT($O98:$S98,W$14:W$18))</f>
        <v>-1.8562493498974353</v>
      </c>
      <c r="AB98" s="60">
        <f ca="1">IF(neural_net!AB$12,0,MMULT($O98:$S98,X$14:X$18))</f>
        <v>-0.66542075628175823</v>
      </c>
      <c r="AC98" s="58"/>
      <c r="AD98" s="60">
        <v>1</v>
      </c>
      <c r="AE98" s="60">
        <f t="shared" ca="1" si="49"/>
        <v>0.39695600694395927</v>
      </c>
      <c r="AF98" s="60">
        <f t="shared" ca="1" si="50"/>
        <v>-0.95233103112895234</v>
      </c>
      <c r="AG98" s="60">
        <f t="shared" ca="1" si="51"/>
        <v>-0.58195959352850557</v>
      </c>
      <c r="AH98" s="60">
        <f t="shared" ca="1" si="52"/>
        <v>0.85761347088466511</v>
      </c>
      <c r="AI98" s="60">
        <f t="shared" ca="1" si="53"/>
        <v>0.45116122174093198</v>
      </c>
      <c r="AJ98" s="60">
        <f t="shared" ca="1" si="54"/>
        <v>0.72533151246671768</v>
      </c>
      <c r="AK98" s="25"/>
      <c r="AL98" s="25"/>
      <c r="AM98" s="25"/>
      <c r="AN98" s="25"/>
      <c r="AP98" s="62">
        <f ca="1">IF(neural_net!AP$12,0,MMULT($AD98:$AG98,AM$14:AM$17))</f>
        <v>0.66494240087917267</v>
      </c>
      <c r="AQ98" s="62">
        <f ca="1">IF(neural_net!AQ$12,0,MMULT($AD98:$AG98,AN$14:AN$17))</f>
        <v>0.51115378060402694</v>
      </c>
      <c r="AR98" s="24"/>
      <c r="AS98" s="62">
        <v>1</v>
      </c>
      <c r="AT98" s="62">
        <f t="shared" ca="1" si="55"/>
        <v>0.66494240087917267</v>
      </c>
      <c r="AU98" s="62">
        <f t="shared" ca="1" si="56"/>
        <v>0.51115378060402694</v>
      </c>
      <c r="AV98" s="118">
        <f t="shared" ca="1" si="57"/>
        <v>1</v>
      </c>
      <c r="AW98" s="118">
        <f t="shared" ca="1" si="58"/>
        <v>1</v>
      </c>
      <c r="AX98" s="24"/>
      <c r="AY98" s="24"/>
      <c r="AZ98" s="24"/>
      <c r="BB98" s="65">
        <f t="shared" ca="1" si="59"/>
        <v>5.1863430333082258E-2</v>
      </c>
      <c r="BC98" s="36"/>
      <c r="BD98" s="65">
        <f t="shared" ca="1" si="60"/>
        <v>0.51296295205117937</v>
      </c>
      <c r="BE98" s="65">
        <f t="shared" ca="1" si="61"/>
        <v>0.24983196187411882</v>
      </c>
      <c r="BF98" s="183">
        <f t="shared" ca="1" si="62"/>
        <v>0.9786314429408568</v>
      </c>
      <c r="BG98" s="183">
        <f t="shared" ca="1" si="63"/>
        <v>0.51296295205117937</v>
      </c>
    </row>
    <row r="99" spans="2:59">
      <c r="B99" s="1">
        <v>86</v>
      </c>
      <c r="C99" s="6">
        <v>1.222016648088311</v>
      </c>
      <c r="D99" s="6">
        <v>-4.201627896021753</v>
      </c>
      <c r="E99" s="6">
        <v>-1.8981469026044386</v>
      </c>
      <c r="F99" s="6">
        <v>0.89901350467608143</v>
      </c>
      <c r="G99" s="106">
        <f t="shared" si="64"/>
        <v>0.54566051975502683</v>
      </c>
      <c r="I99" s="72">
        <v>0.12703739805705117</v>
      </c>
      <c r="J99" s="10">
        <f t="shared" si="46"/>
        <v>86</v>
      </c>
      <c r="K99" s="10">
        <f t="shared" si="47"/>
        <v>9</v>
      </c>
      <c r="L99" s="10">
        <f t="shared" si="48"/>
        <v>0</v>
      </c>
      <c r="M99" s="10"/>
      <c r="N99" s="182">
        <f t="shared" ca="1" si="65"/>
        <v>0.54566051975502683</v>
      </c>
      <c r="O99" s="11">
        <v>1</v>
      </c>
      <c r="P99" s="11">
        <f t="shared" ca="1" si="66"/>
        <v>0.59612096238234491</v>
      </c>
      <c r="Q99" s="11">
        <f t="shared" ca="1" si="66"/>
        <v>0.44575608885313056</v>
      </c>
      <c r="R99" s="11">
        <f t="shared" ca="1" si="66"/>
        <v>0.41101031932527254</v>
      </c>
      <c r="S99" s="11">
        <f t="shared" ca="1" si="66"/>
        <v>0.51400312737708076</v>
      </c>
      <c r="T99" s="10"/>
      <c r="U99" s="10"/>
      <c r="V99" s="10"/>
      <c r="W99" s="10"/>
      <c r="X99" s="10"/>
      <c r="Z99" s="60">
        <f ca="1">IF(neural_net!Z$12,0,MMULT($O99:$S99,V$14:V$18))</f>
        <v>0.42137287777918009</v>
      </c>
      <c r="AA99" s="60">
        <f ca="1">IF(neural_net!AA$12,0,MMULT($O99:$S99,W$14:W$18))</f>
        <v>-1.5260141679726487</v>
      </c>
      <c r="AB99" s="60">
        <f ca="1">IF(neural_net!AB$12,0,MMULT($O99:$S99,X$14:X$18))</f>
        <v>-0.6905955589606485</v>
      </c>
      <c r="AC99" s="58"/>
      <c r="AD99" s="60">
        <v>1</v>
      </c>
      <c r="AE99" s="60">
        <f t="shared" ca="1" si="49"/>
        <v>0.39808637707390554</v>
      </c>
      <c r="AF99" s="60">
        <f t="shared" ca="1" si="50"/>
        <v>-0.90974002966746847</v>
      </c>
      <c r="AG99" s="60">
        <f t="shared" ca="1" si="51"/>
        <v>-0.59836446176116975</v>
      </c>
      <c r="AH99" s="60">
        <f t="shared" ca="1" si="52"/>
        <v>0.8568812390609245</v>
      </c>
      <c r="AI99" s="60">
        <f t="shared" ca="1" si="53"/>
        <v>0.48014825247128867</v>
      </c>
      <c r="AJ99" s="60">
        <f t="shared" ca="1" si="54"/>
        <v>0.71282755374577866</v>
      </c>
      <c r="AK99" s="25"/>
      <c r="AL99" s="25"/>
      <c r="AM99" s="25"/>
      <c r="AN99" s="25"/>
      <c r="AP99" s="62">
        <f ca="1">IF(neural_net!AP$12,0,MMULT($AD99:$AG99,AM$14:AM$17))</f>
        <v>0.62871213624353528</v>
      </c>
      <c r="AQ99" s="62">
        <f ca="1">IF(neural_net!AQ$12,0,MMULT($AD99:$AG99,AN$14:AN$17))</f>
        <v>0.51502386408006684</v>
      </c>
      <c r="AR99" s="24"/>
      <c r="AS99" s="62">
        <v>1</v>
      </c>
      <c r="AT99" s="62">
        <f t="shared" ca="1" si="55"/>
        <v>0.62871213624353528</v>
      </c>
      <c r="AU99" s="62">
        <f t="shared" ca="1" si="56"/>
        <v>0.51502386408006684</v>
      </c>
      <c r="AV99" s="118">
        <f t="shared" ca="1" si="57"/>
        <v>1</v>
      </c>
      <c r="AW99" s="118">
        <f t="shared" ca="1" si="58"/>
        <v>1</v>
      </c>
      <c r="AX99" s="24"/>
      <c r="AY99" s="24"/>
      <c r="AZ99" s="24"/>
      <c r="BB99" s="65">
        <f t="shared" ca="1" si="59"/>
        <v>6.8377917830102775E-2</v>
      </c>
      <c r="BC99" s="36"/>
      <c r="BD99" s="65">
        <f t="shared" ca="1" si="60"/>
        <v>0.51708782207715587</v>
      </c>
      <c r="BE99" s="65">
        <f t="shared" ca="1" si="61"/>
        <v>0.24970800633665946</v>
      </c>
      <c r="BF99" s="183">
        <f t="shared" ca="1" si="62"/>
        <v>0.54566051975502683</v>
      </c>
      <c r="BG99" s="183">
        <f t="shared" ca="1" si="63"/>
        <v>0.51708782207715587</v>
      </c>
    </row>
    <row r="100" spans="2:59">
      <c r="B100" s="1">
        <v>87</v>
      </c>
      <c r="C100" s="6">
        <v>9.4676309371892806</v>
      </c>
      <c r="D100" s="6">
        <v>-11.531272059632645</v>
      </c>
      <c r="E100" s="6">
        <v>4.2532166365269548</v>
      </c>
      <c r="F100" s="6">
        <v>18.627092770155155</v>
      </c>
      <c r="G100" s="106">
        <f t="shared" si="64"/>
        <v>7.0614620838055794E-2</v>
      </c>
      <c r="I100" s="72">
        <v>0.31641823438489425</v>
      </c>
      <c r="J100" s="10">
        <f t="shared" si="46"/>
        <v>67</v>
      </c>
      <c r="K100" s="10">
        <f t="shared" si="47"/>
        <v>9</v>
      </c>
      <c r="L100" s="10">
        <f t="shared" si="48"/>
        <v>0</v>
      </c>
      <c r="M100" s="10"/>
      <c r="N100" s="182">
        <f t="shared" ca="1" si="65"/>
        <v>0.70236588844182435</v>
      </c>
      <c r="O100" s="11">
        <v>1</v>
      </c>
      <c r="P100" s="11">
        <f t="shared" ca="1" si="66"/>
        <v>0.67012432841033065</v>
      </c>
      <c r="Q100" s="11">
        <f t="shared" ca="1" si="66"/>
        <v>0.68361047509819262</v>
      </c>
      <c r="R100" s="11">
        <f t="shared" ca="1" si="66"/>
        <v>0.55791375721672842</v>
      </c>
      <c r="S100" s="11">
        <f t="shared" ca="1" si="66"/>
        <v>0.64853697979693448</v>
      </c>
      <c r="T100" s="10"/>
      <c r="U100" s="10"/>
      <c r="V100" s="10"/>
      <c r="W100" s="10"/>
      <c r="X100" s="10"/>
      <c r="Z100" s="60">
        <f ca="1">IF(neural_net!Z$12,0,MMULT($O100:$S100,V$14:V$18))</f>
        <v>0.50616125455176597</v>
      </c>
      <c r="AA100" s="60">
        <f ca="1">IF(neural_net!AA$12,0,MMULT($O100:$S100,W$14:W$18))</f>
        <v>-1.9359685873682111</v>
      </c>
      <c r="AB100" s="60">
        <f ca="1">IF(neural_net!AB$12,0,MMULT($O100:$S100,X$14:X$18))</f>
        <v>-0.78016320436924946</v>
      </c>
      <c r="AC100" s="58"/>
      <c r="AD100" s="60">
        <v>1</v>
      </c>
      <c r="AE100" s="60">
        <f t="shared" ca="1" si="49"/>
        <v>0.46694884391415531</v>
      </c>
      <c r="AF100" s="60">
        <f t="shared" ca="1" si="50"/>
        <v>-0.95921309736856541</v>
      </c>
      <c r="AG100" s="60">
        <f t="shared" ca="1" si="51"/>
        <v>-0.65280037104097799</v>
      </c>
      <c r="AH100" s="60">
        <f t="shared" ca="1" si="52"/>
        <v>0.81013871809365701</v>
      </c>
      <c r="AI100" s="60">
        <f t="shared" ca="1" si="53"/>
        <v>0.44657460898072532</v>
      </c>
      <c r="AJ100" s="60">
        <f t="shared" ca="1" si="54"/>
        <v>0.67103794332283173</v>
      </c>
      <c r="AK100" s="25"/>
      <c r="AL100" s="25"/>
      <c r="AM100" s="25"/>
      <c r="AN100" s="25"/>
      <c r="AP100" s="62">
        <f ca="1">IF(neural_net!AP$12,0,MMULT($AD100:$AG100,AM$14:AM$17))</f>
        <v>0.53525931329420773</v>
      </c>
      <c r="AQ100" s="62">
        <f ca="1">IF(neural_net!AQ$12,0,MMULT($AD100:$AG100,AN$14:AN$17))</f>
        <v>0.63648568865380595</v>
      </c>
      <c r="AR100" s="24"/>
      <c r="AS100" s="62">
        <v>1</v>
      </c>
      <c r="AT100" s="62">
        <f t="shared" ca="1" si="55"/>
        <v>0.53525931329420773</v>
      </c>
      <c r="AU100" s="62">
        <f t="shared" ca="1" si="56"/>
        <v>0.63648568865380595</v>
      </c>
      <c r="AV100" s="118">
        <f t="shared" ca="1" si="57"/>
        <v>1</v>
      </c>
      <c r="AW100" s="118">
        <f t="shared" ca="1" si="58"/>
        <v>1</v>
      </c>
      <c r="AX100" s="24"/>
      <c r="AY100" s="24"/>
      <c r="AZ100" s="24"/>
      <c r="BB100" s="65">
        <f t="shared" ca="1" si="59"/>
        <v>0.13531736446778797</v>
      </c>
      <c r="BC100" s="36"/>
      <c r="BD100" s="65">
        <f t="shared" ca="1" si="60"/>
        <v>0.5337778153017676</v>
      </c>
      <c r="BE100" s="65">
        <f t="shared" ca="1" si="61"/>
        <v>0.24885905919343967</v>
      </c>
      <c r="BF100" s="183">
        <f t="shared" ca="1" si="62"/>
        <v>0.70236588844182435</v>
      </c>
      <c r="BG100" s="183">
        <f t="shared" ca="1" si="63"/>
        <v>0.5337778153017676</v>
      </c>
    </row>
    <row r="101" spans="2:59">
      <c r="B101" s="1">
        <v>88</v>
      </c>
      <c r="C101" s="6">
        <v>5.498851031301407</v>
      </c>
      <c r="D101" s="6">
        <v>11.971224974236618</v>
      </c>
      <c r="E101" s="6">
        <v>1.9866890278427876</v>
      </c>
      <c r="F101" s="6">
        <v>5.6328526493747599</v>
      </c>
      <c r="G101" s="106">
        <f t="shared" si="64"/>
        <v>0.7688215096483938</v>
      </c>
      <c r="I101" s="72">
        <v>0.25836182078955716</v>
      </c>
      <c r="J101" s="10">
        <f t="shared" si="46"/>
        <v>73</v>
      </c>
      <c r="K101" s="10">
        <f t="shared" si="47"/>
        <v>9</v>
      </c>
      <c r="L101" s="10">
        <f t="shared" si="48"/>
        <v>0</v>
      </c>
      <c r="M101" s="10"/>
      <c r="N101" s="182">
        <f t="shared" ca="1" si="65"/>
        <v>1</v>
      </c>
      <c r="O101" s="11">
        <v>1</v>
      </c>
      <c r="P101" s="11">
        <f t="shared" ca="1" si="66"/>
        <v>0.65170386301581595</v>
      </c>
      <c r="Q101" s="11">
        <f t="shared" ca="1" si="66"/>
        <v>0.52194074277199221</v>
      </c>
      <c r="R101" s="11">
        <f t="shared" ca="1" si="66"/>
        <v>0.62621283519516169</v>
      </c>
      <c r="S101" s="11">
        <f t="shared" ca="1" si="66"/>
        <v>0.66406032655789904</v>
      </c>
      <c r="T101" s="10"/>
      <c r="U101" s="10"/>
      <c r="V101" s="10"/>
      <c r="W101" s="10"/>
      <c r="X101" s="10"/>
      <c r="Z101" s="60">
        <f ca="1">IF(neural_net!Z$12,0,MMULT($O101:$S101,V$14:V$18))</f>
        <v>0.41181984572844221</v>
      </c>
      <c r="AA101" s="60">
        <f ca="1">IF(neural_net!AA$12,0,MMULT($O101:$S101,W$14:W$18))</f>
        <v>-1.8162564929915574</v>
      </c>
      <c r="AB101" s="60">
        <f ca="1">IF(neural_net!AB$12,0,MMULT($O101:$S101,X$14:X$18))</f>
        <v>-0.90565849406625343</v>
      </c>
      <c r="AC101" s="58"/>
      <c r="AD101" s="60">
        <v>1</v>
      </c>
      <c r="AE101" s="60">
        <f t="shared" ca="1" si="49"/>
        <v>0.39001679782887594</v>
      </c>
      <c r="AF101" s="60">
        <f t="shared" ca="1" si="50"/>
        <v>-0.94846384584681609</v>
      </c>
      <c r="AG101" s="60">
        <f t="shared" ca="1" si="51"/>
        <v>-0.71904193774616565</v>
      </c>
      <c r="AH101" s="60">
        <f t="shared" ca="1" si="52"/>
        <v>0.86208082547577902</v>
      </c>
      <c r="AI101" s="60">
        <f t="shared" ca="1" si="53"/>
        <v>0.45375068536421537</v>
      </c>
      <c r="AJ101" s="60">
        <f t="shared" ca="1" si="54"/>
        <v>0.62015519658129881</v>
      </c>
      <c r="AK101" s="25"/>
      <c r="AL101" s="25"/>
      <c r="AM101" s="25"/>
      <c r="AN101" s="25"/>
      <c r="AP101" s="62">
        <f ca="1">IF(neural_net!AP$12,0,MMULT($AD101:$AG101,AM$14:AM$17))</f>
        <v>0.51344751372033304</v>
      </c>
      <c r="AQ101" s="62">
        <f ca="1">IF(neural_net!AQ$12,0,MMULT($AD101:$AG101,AN$14:AN$17))</f>
        <v>0.63826740644793878</v>
      </c>
      <c r="AR101" s="24"/>
      <c r="AS101" s="62">
        <v>1</v>
      </c>
      <c r="AT101" s="62">
        <f t="shared" ca="1" si="55"/>
        <v>0.51344751372033304</v>
      </c>
      <c r="AU101" s="62">
        <f t="shared" ca="1" si="56"/>
        <v>0.63826740644793878</v>
      </c>
      <c r="AV101" s="118">
        <f t="shared" ca="1" si="57"/>
        <v>1</v>
      </c>
      <c r="AW101" s="118">
        <f t="shared" ca="1" si="58"/>
        <v>1</v>
      </c>
      <c r="AX101" s="24"/>
      <c r="AY101" s="24"/>
      <c r="AZ101" s="24"/>
      <c r="BB101" s="65">
        <f t="shared" ca="1" si="59"/>
        <v>0.14513992350687338</v>
      </c>
      <c r="BC101" s="36"/>
      <c r="BD101" s="65">
        <f t="shared" ca="1" si="60"/>
        <v>0.53622141770642207</v>
      </c>
      <c r="BE101" s="65">
        <f t="shared" ca="1" si="61"/>
        <v>0.2486880088993369</v>
      </c>
      <c r="BF101" s="183">
        <f t="shared" ca="1" si="62"/>
        <v>1</v>
      </c>
      <c r="BG101" s="183">
        <f t="shared" ca="1" si="63"/>
        <v>0.53622141770642207</v>
      </c>
    </row>
    <row r="102" spans="2:59">
      <c r="B102" s="1">
        <v>89</v>
      </c>
      <c r="C102" s="6">
        <v>-6.6078794654922337</v>
      </c>
      <c r="D102" s="6">
        <v>8.5672469838798637</v>
      </c>
      <c r="E102" s="6">
        <v>-4.796767011753273</v>
      </c>
      <c r="F102" s="6">
        <v>11.752123052763729</v>
      </c>
      <c r="G102" s="106">
        <f t="shared" si="64"/>
        <v>0.1081473985288397</v>
      </c>
      <c r="I102" s="72">
        <v>0.12087473711895247</v>
      </c>
      <c r="J102" s="10">
        <f t="shared" si="46"/>
        <v>87</v>
      </c>
      <c r="K102" s="10">
        <f t="shared" si="47"/>
        <v>9</v>
      </c>
      <c r="L102" s="10">
        <f t="shared" si="48"/>
        <v>0</v>
      </c>
      <c r="M102" s="10"/>
      <c r="N102" s="182">
        <f t="shared" ca="1" si="65"/>
        <v>7.0614620838055794E-2</v>
      </c>
      <c r="O102" s="11">
        <v>1</v>
      </c>
      <c r="P102" s="11">
        <f t="shared" ca="1" si="66"/>
        <v>0.81442028763026075</v>
      </c>
      <c r="Q102" s="11">
        <f t="shared" ca="1" si="66"/>
        <v>0.3199095118810768</v>
      </c>
      <c r="R102" s="11">
        <f t="shared" ca="1" si="66"/>
        <v>0.53942684863074453</v>
      </c>
      <c r="S102" s="11">
        <f t="shared" ca="1" si="66"/>
        <v>0.93333940045963626</v>
      </c>
      <c r="T102" s="10"/>
      <c r="U102" s="10"/>
      <c r="V102" s="10"/>
      <c r="W102" s="10"/>
      <c r="X102" s="10"/>
      <c r="Z102" s="60">
        <f ca="1">IF(neural_net!Z$12,0,MMULT($O102:$S102,V$14:V$18))</f>
        <v>0.14602186517321353</v>
      </c>
      <c r="AA102" s="60">
        <f ca="1">IF(neural_net!AA$12,0,MMULT($O102:$S102,W$14:W$18))</f>
        <v>-1.9740647235450002</v>
      </c>
      <c r="AB102" s="60">
        <f ca="1">IF(neural_net!AB$12,0,MMULT($O102:$S102,X$14:X$18))</f>
        <v>-0.96506044801587287</v>
      </c>
      <c r="AC102" s="58"/>
      <c r="AD102" s="60">
        <v>1</v>
      </c>
      <c r="AE102" s="60">
        <f t="shared" ca="1" si="49"/>
        <v>0.14499279634910064</v>
      </c>
      <c r="AF102" s="60">
        <f t="shared" ca="1" si="50"/>
        <v>-0.96214867568489171</v>
      </c>
      <c r="AG102" s="60">
        <f t="shared" ca="1" si="51"/>
        <v>-0.74652560127133938</v>
      </c>
      <c r="AH102" s="60">
        <f t="shared" ca="1" si="52"/>
        <v>0.97926825885096214</v>
      </c>
      <c r="AI102" s="60">
        <f t="shared" ca="1" si="53"/>
        <v>0.44462664803786855</v>
      </c>
      <c r="AJ102" s="60">
        <f t="shared" ca="1" si="54"/>
        <v>0.59922034984103734</v>
      </c>
      <c r="AK102" s="25"/>
      <c r="AL102" s="25"/>
      <c r="AM102" s="25"/>
      <c r="AN102" s="25"/>
      <c r="AP102" s="62">
        <f ca="1">IF(neural_net!AP$12,0,MMULT($AD102:$AG102,AM$14:AM$17))</f>
        <v>0.67057343716677531</v>
      </c>
      <c r="AQ102" s="62">
        <f ca="1">IF(neural_net!AQ$12,0,MMULT($AD102:$AG102,AN$14:AN$17))</f>
        <v>0.47965388715302254</v>
      </c>
      <c r="AR102" s="24"/>
      <c r="AS102" s="62">
        <v>1</v>
      </c>
      <c r="AT102" s="62">
        <f t="shared" ca="1" si="55"/>
        <v>0.67057343716677531</v>
      </c>
      <c r="AU102" s="62">
        <f t="shared" ca="1" si="56"/>
        <v>0.47965388715302254</v>
      </c>
      <c r="AV102" s="118">
        <f t="shared" ca="1" si="57"/>
        <v>1</v>
      </c>
      <c r="AW102" s="118">
        <f t="shared" ca="1" si="58"/>
        <v>1</v>
      </c>
      <c r="AX102" s="24"/>
      <c r="AY102" s="24"/>
      <c r="AZ102" s="24"/>
      <c r="BB102" s="65">
        <f t="shared" ca="1" si="59"/>
        <v>4.2549954626973086E-2</v>
      </c>
      <c r="BC102" s="36"/>
      <c r="BD102" s="65">
        <f t="shared" ca="1" si="60"/>
        <v>0.51063588401736804</v>
      </c>
      <c r="BE102" s="65">
        <f t="shared" ca="1" si="61"/>
        <v>0.2498868779711691</v>
      </c>
      <c r="BF102" s="183">
        <f t="shared" ca="1" si="62"/>
        <v>7.0614620838055794E-2</v>
      </c>
      <c r="BG102" s="183">
        <f t="shared" ca="1" si="63"/>
        <v>0.51063588401736804</v>
      </c>
    </row>
    <row r="103" spans="2:59">
      <c r="B103" s="1">
        <v>90</v>
      </c>
      <c r="C103" s="6">
        <v>-10.50227817320199</v>
      </c>
      <c r="D103" s="6">
        <v>2.460608641292017</v>
      </c>
      <c r="E103" s="6">
        <v>-3.2540082850834882</v>
      </c>
      <c r="F103" s="6">
        <v>21.242800153460578</v>
      </c>
      <c r="G103" s="106">
        <f t="shared" si="64"/>
        <v>2.9671745129693788E-6</v>
      </c>
      <c r="I103" s="72">
        <v>0.52608528310760383</v>
      </c>
      <c r="J103" s="10">
        <f t="shared" si="46"/>
        <v>46</v>
      </c>
      <c r="K103" s="10">
        <f t="shared" si="47"/>
        <v>9</v>
      </c>
      <c r="L103" s="10">
        <f t="shared" si="48"/>
        <v>0</v>
      </c>
      <c r="M103" s="10"/>
      <c r="N103" s="182">
        <f t="shared" ca="1" si="65"/>
        <v>0.85032709608806567</v>
      </c>
      <c r="O103" s="11">
        <v>1</v>
      </c>
      <c r="P103" s="11">
        <f t="shared" ca="1" si="66"/>
        <v>0.64640091997136728</v>
      </c>
      <c r="Q103" s="11">
        <f t="shared" ca="1" si="66"/>
        <v>0.3716166075220359</v>
      </c>
      <c r="R103" s="11">
        <f t="shared" ca="1" si="66"/>
        <v>0.63008110456771893</v>
      </c>
      <c r="S103" s="11">
        <f t="shared" ca="1" si="66"/>
        <v>0.45689436640459319</v>
      </c>
      <c r="T103" s="10"/>
      <c r="U103" s="10"/>
      <c r="V103" s="10"/>
      <c r="W103" s="10"/>
      <c r="X103" s="10"/>
      <c r="Z103" s="60">
        <f ca="1">IF(neural_net!Z$12,0,MMULT($O103:$S103,V$14:V$18))</f>
        <v>0.41475904022028787</v>
      </c>
      <c r="AA103" s="60">
        <f ca="1">IF(neural_net!AA$12,0,MMULT($O103:$S103,W$14:W$18))</f>
        <v>-1.5235892227997849</v>
      </c>
      <c r="AB103" s="60">
        <f ca="1">IF(neural_net!AB$12,0,MMULT($O103:$S103,X$14:X$18))</f>
        <v>-0.78936080725725888</v>
      </c>
      <c r="AC103" s="58"/>
      <c r="AD103" s="60">
        <v>1</v>
      </c>
      <c r="AE103" s="60">
        <f t="shared" ca="1" si="49"/>
        <v>0.39250604165150488</v>
      </c>
      <c r="AF103" s="60">
        <f t="shared" ca="1" si="50"/>
        <v>-0.90932111106050784</v>
      </c>
      <c r="AG103" s="60">
        <f t="shared" ca="1" si="51"/>
        <v>-0.65804678243286463</v>
      </c>
      <c r="AH103" s="60">
        <f t="shared" ca="1" si="52"/>
        <v>0.86048381657606943</v>
      </c>
      <c r="AI103" s="60">
        <f t="shared" ca="1" si="53"/>
        <v>0.48043835086363862</v>
      </c>
      <c r="AJ103" s="60">
        <f t="shared" ca="1" si="54"/>
        <v>0.66699934818988915</v>
      </c>
      <c r="AK103" s="25"/>
      <c r="AL103" s="25"/>
      <c r="AM103" s="25"/>
      <c r="AN103" s="25"/>
      <c r="AP103" s="62">
        <f ca="1">IF(neural_net!AP$12,0,MMULT($AD103:$AG103,AM$14:AM$17))</f>
        <v>0.56516397848459021</v>
      </c>
      <c r="AQ103" s="62">
        <f ca="1">IF(neural_net!AQ$12,0,MMULT($AD103:$AG103,AN$14:AN$17))</f>
        <v>0.56877192074017824</v>
      </c>
      <c r="AR103" s="24"/>
      <c r="AS103" s="62">
        <v>1</v>
      </c>
      <c r="AT103" s="62">
        <f t="shared" ca="1" si="55"/>
        <v>0.56516397848459021</v>
      </c>
      <c r="AU103" s="62">
        <f t="shared" ca="1" si="56"/>
        <v>0.56877192074017824</v>
      </c>
      <c r="AV103" s="118">
        <f t="shared" ca="1" si="57"/>
        <v>1</v>
      </c>
      <c r="AW103" s="118">
        <f t="shared" ca="1" si="58"/>
        <v>1</v>
      </c>
      <c r="AX103" s="24"/>
      <c r="AY103" s="24"/>
      <c r="AZ103" s="24"/>
      <c r="BB103" s="65">
        <f t="shared" ca="1" si="59"/>
        <v>0.10759825698019676</v>
      </c>
      <c r="BC103" s="36"/>
      <c r="BD103" s="65">
        <f t="shared" ca="1" si="60"/>
        <v>0.52687364203835152</v>
      </c>
      <c r="BE103" s="65">
        <f t="shared" ca="1" si="61"/>
        <v>0.24927780736359453</v>
      </c>
      <c r="BF103" s="183">
        <f t="shared" ca="1" si="62"/>
        <v>0.85032709608806567</v>
      </c>
      <c r="BG103" s="183">
        <f t="shared" ca="1" si="63"/>
        <v>0.52687364203835152</v>
      </c>
    </row>
    <row r="104" spans="2:59">
      <c r="B104" s="1">
        <v>91</v>
      </c>
      <c r="C104" s="6">
        <v>5.636698124999203</v>
      </c>
      <c r="D104" s="6">
        <v>-12.486223169149476</v>
      </c>
      <c r="E104" s="6">
        <v>12.099460287378658</v>
      </c>
      <c r="F104" s="6">
        <v>-2.5944164768042577</v>
      </c>
      <c r="G104" s="106">
        <f t="shared" si="64"/>
        <v>0.72661718755908178</v>
      </c>
      <c r="I104" s="72">
        <v>0.13105183707858548</v>
      </c>
      <c r="J104" s="10">
        <f t="shared" si="46"/>
        <v>83</v>
      </c>
      <c r="K104" s="10">
        <f t="shared" si="47"/>
        <v>10</v>
      </c>
      <c r="L104" s="10">
        <f t="shared" si="48"/>
        <v>0</v>
      </c>
      <c r="M104" s="10"/>
      <c r="N104" s="182">
        <f t="shared" ca="1" si="65"/>
        <v>0.44629589863704638</v>
      </c>
      <c r="O104" s="11">
        <v>1</v>
      </c>
      <c r="P104" s="11">
        <f t="shared" ca="1" si="66"/>
        <v>0.45274923313381249</v>
      </c>
      <c r="Q104" s="11">
        <f t="shared" ca="1" si="66"/>
        <v>0.6752557408026022</v>
      </c>
      <c r="R104" s="11">
        <f t="shared" ca="1" si="66"/>
        <v>6.7993562708193872E-2</v>
      </c>
      <c r="S104" s="11">
        <f t="shared" ca="1" si="66"/>
        <v>0.68010182017574883</v>
      </c>
      <c r="T104" s="10"/>
      <c r="U104" s="10"/>
      <c r="V104" s="10"/>
      <c r="W104" s="10"/>
      <c r="X104" s="10"/>
      <c r="Z104" s="60">
        <f ca="1">IF(neural_net!Z$12,0,MMULT($O104:$S104,V$14:V$18))</f>
        <v>0.47343240181063245</v>
      </c>
      <c r="AA104" s="60">
        <f ca="1">IF(neural_net!AA$12,0,MMULT($O104:$S104,W$14:W$18))</f>
        <v>-1.6299502277520797</v>
      </c>
      <c r="AB104" s="60">
        <f ca="1">IF(neural_net!AB$12,0,MMULT($O104:$S104,X$14:X$18))</f>
        <v>-0.62317651530278906</v>
      </c>
      <c r="AC104" s="58"/>
      <c r="AD104" s="60">
        <v>1</v>
      </c>
      <c r="AE104" s="60">
        <f t="shared" ca="1" si="49"/>
        <v>0.44096845564410486</v>
      </c>
      <c r="AF104" s="60">
        <f t="shared" ca="1" si="50"/>
        <v>-0.92605449301672205</v>
      </c>
      <c r="AG104" s="60">
        <f t="shared" ca="1" si="51"/>
        <v>-0.5533358298501827</v>
      </c>
      <c r="AH104" s="60">
        <f t="shared" ca="1" si="52"/>
        <v>0.82823379053872692</v>
      </c>
      <c r="AI104" s="60">
        <f t="shared" ca="1" si="53"/>
        <v>0.46892480171015249</v>
      </c>
      <c r="AJ104" s="60">
        <f t="shared" ca="1" si="54"/>
        <v>0.74697473201277464</v>
      </c>
      <c r="AK104" s="25"/>
      <c r="AL104" s="25"/>
      <c r="AM104" s="25"/>
      <c r="AN104" s="25"/>
      <c r="AP104" s="62">
        <f ca="1">IF(neural_net!AP$12,0,MMULT($AD104:$AG104,AM$14:AM$17))</f>
        <v>0.65412031668688331</v>
      </c>
      <c r="AQ104" s="62">
        <f ca="1">IF(neural_net!AQ$12,0,MMULT($AD104:$AG104,AN$14:AN$17))</f>
        <v>0.50927832540710116</v>
      </c>
      <c r="AR104" s="24"/>
      <c r="AS104" s="62">
        <v>1</v>
      </c>
      <c r="AT104" s="62">
        <f t="shared" ca="1" si="55"/>
        <v>0.65412031668688331</v>
      </c>
      <c r="AU104" s="62">
        <f t="shared" ca="1" si="56"/>
        <v>0.50927832540710116</v>
      </c>
      <c r="AV104" s="118">
        <f t="shared" ca="1" si="57"/>
        <v>1</v>
      </c>
      <c r="AW104" s="118">
        <f t="shared" ca="1" si="58"/>
        <v>1</v>
      </c>
      <c r="AX104" s="24"/>
      <c r="AY104" s="24"/>
      <c r="AZ104" s="24"/>
      <c r="BB104" s="65">
        <f t="shared" ca="1" si="59"/>
        <v>5.6134428837733785E-2</v>
      </c>
      <c r="BC104" s="36"/>
      <c r="BD104" s="65">
        <f t="shared" ca="1" si="60"/>
        <v>0.5140299232922404</v>
      </c>
      <c r="BE104" s="65">
        <f t="shared" ca="1" si="61"/>
        <v>0.24980316125241386</v>
      </c>
      <c r="BF104" s="183">
        <f t="shared" ca="1" si="62"/>
        <v>0.44629589863704638</v>
      </c>
      <c r="BG104" s="183">
        <f t="shared" ca="1" si="63"/>
        <v>0.5140299232922404</v>
      </c>
    </row>
    <row r="105" spans="2:59">
      <c r="B105" s="1">
        <v>92</v>
      </c>
      <c r="C105" s="6">
        <v>-13.976867820023406</v>
      </c>
      <c r="D105" s="6">
        <v>1.9806413862033077</v>
      </c>
      <c r="E105" s="6">
        <v>4.632868837224283</v>
      </c>
      <c r="F105" s="6">
        <v>1.4577238171051961</v>
      </c>
      <c r="G105" s="106">
        <f t="shared" si="64"/>
        <v>1.3054657330847231E-10</v>
      </c>
      <c r="I105" s="72">
        <v>0.72483136357779065</v>
      </c>
      <c r="J105" s="10">
        <f t="shared" si="46"/>
        <v>25</v>
      </c>
      <c r="K105" s="10">
        <f t="shared" si="47"/>
        <v>10</v>
      </c>
      <c r="L105" s="10">
        <f t="shared" si="48"/>
        <v>0</v>
      </c>
      <c r="M105" s="10"/>
      <c r="N105" s="182">
        <f t="shared" ca="1" si="65"/>
        <v>0.91682874053605223</v>
      </c>
      <c r="O105" s="11">
        <v>1</v>
      </c>
      <c r="P105" s="11">
        <f t="shared" ca="1" si="66"/>
        <v>0.75741013034650873</v>
      </c>
      <c r="Q105" s="11">
        <f t="shared" ca="1" si="66"/>
        <v>0.73773518643478431</v>
      </c>
      <c r="R105" s="11">
        <f t="shared" ca="1" si="66"/>
        <v>0.32634728497713644</v>
      </c>
      <c r="S105" s="11">
        <f t="shared" ca="1" si="66"/>
        <v>0.59533888743044283</v>
      </c>
      <c r="T105" s="10"/>
      <c r="U105" s="10"/>
      <c r="V105" s="10"/>
      <c r="W105" s="10"/>
      <c r="X105" s="10"/>
      <c r="Z105" s="60">
        <f ca="1">IF(neural_net!Z$12,0,MMULT($O105:$S105,V$14:V$18))</f>
        <v>0.53075468422965388</v>
      </c>
      <c r="AA105" s="60">
        <f ca="1">IF(neural_net!AA$12,0,MMULT($O105:$S105,W$14:W$18))</f>
        <v>-1.9488464049770307</v>
      </c>
      <c r="AB105" s="60">
        <f ca="1">IF(neural_net!AB$12,0,MMULT($O105:$S105,X$14:X$18))</f>
        <v>-0.46765719152278851</v>
      </c>
      <c r="AC105" s="58"/>
      <c r="AD105" s="60">
        <v>1</v>
      </c>
      <c r="AE105" s="60">
        <f t="shared" ca="1" si="49"/>
        <v>0.48595776380219929</v>
      </c>
      <c r="AF105" s="60">
        <f t="shared" ca="1" si="50"/>
        <v>-0.96022955473436322</v>
      </c>
      <c r="AG105" s="60">
        <f t="shared" ca="1" si="51"/>
        <v>-0.43630442739507191</v>
      </c>
      <c r="AH105" s="60">
        <f t="shared" ca="1" si="52"/>
        <v>0.79659694634961753</v>
      </c>
      <c r="AI105" s="60">
        <f t="shared" ca="1" si="53"/>
        <v>0.44589954228618678</v>
      </c>
      <c r="AJ105" s="60">
        <f t="shared" ca="1" si="54"/>
        <v>0.8314269273056395</v>
      </c>
      <c r="AK105" s="25"/>
      <c r="AL105" s="25"/>
      <c r="AM105" s="25"/>
      <c r="AN105" s="25"/>
      <c r="AP105" s="62">
        <f ca="1">IF(neural_net!AP$12,0,MMULT($AD105:$AG105,AM$14:AM$17))</f>
        <v>0.76650021472174901</v>
      </c>
      <c r="AQ105" s="62">
        <f ca="1">IF(neural_net!AQ$12,0,MMULT($AD105:$AG105,AN$14:AN$17))</f>
        <v>0.44040804208248091</v>
      </c>
      <c r="AR105" s="24"/>
      <c r="AS105" s="62">
        <v>1</v>
      </c>
      <c r="AT105" s="62">
        <f t="shared" ca="1" si="55"/>
        <v>0.76650021472174901</v>
      </c>
      <c r="AU105" s="62">
        <f t="shared" ca="1" si="56"/>
        <v>0.44040804208248091</v>
      </c>
      <c r="AV105" s="118">
        <f t="shared" ca="1" si="57"/>
        <v>1</v>
      </c>
      <c r="AW105" s="118">
        <f t="shared" ca="1" si="58"/>
        <v>1</v>
      </c>
      <c r="AX105" s="24"/>
      <c r="AY105" s="24"/>
      <c r="AZ105" s="24"/>
      <c r="BB105" s="65">
        <f t="shared" ca="1" si="59"/>
        <v>-7.5074176336982074E-3</v>
      </c>
      <c r="BC105" s="36"/>
      <c r="BD105" s="65">
        <f t="shared" ca="1" si="60"/>
        <v>0.49812315440669169</v>
      </c>
      <c r="BE105" s="65">
        <f t="shared" ca="1" si="61"/>
        <v>0.24999647745061884</v>
      </c>
      <c r="BF105" s="183">
        <f t="shared" ca="1" si="62"/>
        <v>0.91682874053605223</v>
      </c>
      <c r="BG105" s="183">
        <f t="shared" ca="1" si="63"/>
        <v>0.49812315440669169</v>
      </c>
    </row>
    <row r="106" spans="2:59">
      <c r="B106" s="1">
        <v>93</v>
      </c>
      <c r="C106" s="6">
        <v>-18.69102903162306</v>
      </c>
      <c r="D106" s="6">
        <v>-6.7219405297981822</v>
      </c>
      <c r="E106" s="6">
        <v>-5.676138281831042</v>
      </c>
      <c r="F106" s="6">
        <v>-19.739200831417698</v>
      </c>
      <c r="G106" s="106">
        <f t="shared" si="64"/>
        <v>0.99972487839888968</v>
      </c>
      <c r="I106" s="72">
        <v>0.90921232930035367</v>
      </c>
      <c r="J106" s="10">
        <f t="shared" si="46"/>
        <v>11</v>
      </c>
      <c r="K106" s="10">
        <f t="shared" si="47"/>
        <v>10</v>
      </c>
      <c r="L106" s="10">
        <f t="shared" si="48"/>
        <v>0</v>
      </c>
      <c r="M106" s="10"/>
      <c r="N106" s="182">
        <f t="shared" ca="1" si="65"/>
        <v>0.99980985738985861</v>
      </c>
      <c r="O106" s="11">
        <v>1</v>
      </c>
      <c r="P106" s="11">
        <f t="shared" ca="1" si="66"/>
        <v>0.38888012444927078</v>
      </c>
      <c r="Q106" s="11">
        <f t="shared" ca="1" si="66"/>
        <v>0.47693026542530742</v>
      </c>
      <c r="R106" s="11">
        <f t="shared" ca="1" si="66"/>
        <v>0.22674708790530373</v>
      </c>
      <c r="S106" s="11">
        <f t="shared" ca="1" si="66"/>
        <v>0.97762514651723786</v>
      </c>
      <c r="T106" s="10"/>
      <c r="U106" s="10"/>
      <c r="V106" s="10"/>
      <c r="W106" s="10"/>
      <c r="X106" s="10"/>
      <c r="Z106" s="60">
        <f ca="1">IF(neural_net!Z$12,0,MMULT($O106:$S106,V$14:V$18))</f>
        <v>0.24713459857442366</v>
      </c>
      <c r="AA106" s="60">
        <f ca="1">IF(neural_net!AA$12,0,MMULT($O106:$S106,W$14:W$18))</f>
        <v>-1.688413362924428</v>
      </c>
      <c r="AB106" s="60">
        <f ca="1">IF(neural_net!AB$12,0,MMULT($O106:$S106,X$14:X$18))</f>
        <v>-1.0932938896274509</v>
      </c>
      <c r="AC106" s="58"/>
      <c r="AD106" s="60">
        <v>1</v>
      </c>
      <c r="AE106" s="60">
        <f t="shared" ca="1" si="49"/>
        <v>0.24222325828434343</v>
      </c>
      <c r="AF106" s="60">
        <f t="shared" ca="1" si="50"/>
        <v>-0.93394482224272712</v>
      </c>
      <c r="AG106" s="60">
        <f t="shared" ca="1" si="51"/>
        <v>-0.79807721355778038</v>
      </c>
      <c r="AH106" s="60">
        <f t="shared" ca="1" si="52"/>
        <v>0.94354880250559037</v>
      </c>
      <c r="AI106" s="60">
        <f t="shared" ca="1" si="53"/>
        <v>0.46354950942440898</v>
      </c>
      <c r="AJ106" s="60">
        <f t="shared" ca="1" si="54"/>
        <v>0.56048343688918378</v>
      </c>
      <c r="AK106" s="25"/>
      <c r="AL106" s="25"/>
      <c r="AM106" s="25"/>
      <c r="AN106" s="25"/>
      <c r="AP106" s="62">
        <f ca="1">IF(neural_net!AP$12,0,MMULT($AD106:$AG106,AM$14:AM$17))</f>
        <v>0.52854127030223674</v>
      </c>
      <c r="AQ106" s="62">
        <f ca="1">IF(neural_net!AQ$12,0,MMULT($AD106:$AG106,AN$14:AN$17))</f>
        <v>0.59654356951355814</v>
      </c>
      <c r="AR106" s="24"/>
      <c r="AS106" s="62">
        <v>1</v>
      </c>
      <c r="AT106" s="62">
        <f t="shared" ca="1" si="55"/>
        <v>0.52854127030223674</v>
      </c>
      <c r="AU106" s="62">
        <f t="shared" ca="1" si="56"/>
        <v>0.59654356951355814</v>
      </c>
      <c r="AV106" s="118">
        <f t="shared" ca="1" si="57"/>
        <v>1</v>
      </c>
      <c r="AW106" s="118">
        <f t="shared" ca="1" si="58"/>
        <v>1</v>
      </c>
      <c r="AX106" s="24"/>
      <c r="AY106" s="24"/>
      <c r="AZ106" s="24"/>
      <c r="BB106" s="65">
        <f t="shared" ca="1" si="59"/>
        <v>0.1295014370091162</v>
      </c>
      <c r="BC106" s="36"/>
      <c r="BD106" s="65">
        <f t="shared" ca="1" si="60"/>
        <v>0.53233018876130722</v>
      </c>
      <c r="BE106" s="65">
        <f t="shared" ca="1" si="61"/>
        <v>0.24895475889465823</v>
      </c>
      <c r="BF106" s="183">
        <f t="shared" ca="1" si="62"/>
        <v>0.99980985738985861</v>
      </c>
      <c r="BG106" s="183">
        <f t="shared" ca="1" si="63"/>
        <v>0.53233018876130722</v>
      </c>
    </row>
    <row r="107" spans="2:59">
      <c r="B107" s="1">
        <v>94</v>
      </c>
      <c r="C107" s="6">
        <v>1.6700086124014091</v>
      </c>
      <c r="D107" s="6">
        <v>-14.248679893754678</v>
      </c>
      <c r="E107" s="6">
        <v>-12.101894911616991</v>
      </c>
      <c r="F107" s="6">
        <v>-20.831251129623922</v>
      </c>
      <c r="G107" s="106">
        <f t="shared" si="64"/>
        <v>0.34477473219702914</v>
      </c>
      <c r="I107" s="72">
        <v>0.76787257789353558</v>
      </c>
      <c r="J107" s="10">
        <f t="shared" si="46"/>
        <v>22</v>
      </c>
      <c r="K107" s="10">
        <f t="shared" si="47"/>
        <v>10</v>
      </c>
      <c r="L107" s="10">
        <f t="shared" si="48"/>
        <v>0</v>
      </c>
      <c r="M107" s="10"/>
      <c r="N107" s="182">
        <f t="shared" ca="1" si="65"/>
        <v>5.5187830827007343E-4</v>
      </c>
      <c r="O107" s="11">
        <v>1</v>
      </c>
      <c r="P107" s="11">
        <f t="shared" ca="1" si="66"/>
        <v>8.4557615129130265E-2</v>
      </c>
      <c r="Q107" s="11">
        <f t="shared" ca="1" si="66"/>
        <v>0.64583699976814113</v>
      </c>
      <c r="R107" s="11">
        <f t="shared" ca="1" si="66"/>
        <v>0.43382638660156303</v>
      </c>
      <c r="S107" s="11">
        <f t="shared" ca="1" si="66"/>
        <v>0.44830206640809606</v>
      </c>
      <c r="T107" s="10"/>
      <c r="U107" s="10"/>
      <c r="V107" s="10"/>
      <c r="W107" s="10"/>
      <c r="X107" s="10"/>
      <c r="Z107" s="60">
        <f ca="1">IF(neural_net!Z$12,0,MMULT($O107:$S107,V$14:V$18))</f>
        <v>0.63567185747397403</v>
      </c>
      <c r="AA107" s="60">
        <f ca="1">IF(neural_net!AA$12,0,MMULT($O107:$S107,W$14:W$18))</f>
        <v>-1.2105969686982463</v>
      </c>
      <c r="AB107" s="60">
        <f ca="1">IF(neural_net!AB$12,0,MMULT($O107:$S107,X$14:X$18))</f>
        <v>-1.053396057361456</v>
      </c>
      <c r="AC107" s="58"/>
      <c r="AD107" s="60">
        <v>1</v>
      </c>
      <c r="AE107" s="60">
        <f t="shared" ca="1" si="49"/>
        <v>0.56194536595557021</v>
      </c>
      <c r="AF107" s="60">
        <f t="shared" ca="1" si="50"/>
        <v>-0.83685847082700271</v>
      </c>
      <c r="AG107" s="60">
        <f t="shared" ca="1" si="51"/>
        <v>-0.78312317149846733</v>
      </c>
      <c r="AH107" s="60">
        <f t="shared" ca="1" si="52"/>
        <v>0.74049188735944338</v>
      </c>
      <c r="AI107" s="60">
        <f t="shared" ca="1" si="53"/>
        <v>0.53195038878240819</v>
      </c>
      <c r="AJ107" s="60">
        <f t="shared" ca="1" si="54"/>
        <v>0.57163541479571855</v>
      </c>
      <c r="AK107" s="25"/>
      <c r="AL107" s="25"/>
      <c r="AM107" s="25"/>
      <c r="AN107" s="25"/>
      <c r="AP107" s="62">
        <f ca="1">IF(neural_net!AP$12,0,MMULT($AD107:$AG107,AM$14:AM$17))</f>
        <v>0.2685606605225147</v>
      </c>
      <c r="AQ107" s="62">
        <f ca="1">IF(neural_net!AQ$12,0,MMULT($AD107:$AG107,AN$14:AN$17))</f>
        <v>0.79971526839085194</v>
      </c>
      <c r="AR107" s="24"/>
      <c r="AS107" s="62">
        <v>1</v>
      </c>
      <c r="AT107" s="62">
        <f t="shared" ca="1" si="55"/>
        <v>0.2685606605225147</v>
      </c>
      <c r="AU107" s="62">
        <f t="shared" ca="1" si="56"/>
        <v>0.79971526839085194</v>
      </c>
      <c r="AV107" s="118">
        <f t="shared" ca="1" si="57"/>
        <v>1</v>
      </c>
      <c r="AW107" s="118">
        <f t="shared" ca="1" si="58"/>
        <v>1</v>
      </c>
      <c r="AX107" s="24"/>
      <c r="AY107" s="24"/>
      <c r="AZ107" s="24"/>
      <c r="BB107" s="65">
        <f t="shared" ca="1" si="59"/>
        <v>0.28630503179421085</v>
      </c>
      <c r="BC107" s="36"/>
      <c r="BD107" s="65">
        <f t="shared" ca="1" si="60"/>
        <v>0.5710913038614609</v>
      </c>
      <c r="BE107" s="65">
        <f t="shared" ca="1" si="61"/>
        <v>0.24494602651527744</v>
      </c>
      <c r="BF107" s="183">
        <f t="shared" ca="1" si="62"/>
        <v>5.5187830827007343E-4</v>
      </c>
      <c r="BG107" s="183">
        <f t="shared" ca="1" si="63"/>
        <v>0.5710913038614609</v>
      </c>
    </row>
    <row r="108" spans="2:59">
      <c r="B108" s="1">
        <v>95</v>
      </c>
      <c r="C108" s="6">
        <v>-5.2676807094355613</v>
      </c>
      <c r="D108" s="6">
        <v>-7.7949483726901452</v>
      </c>
      <c r="E108" s="6">
        <v>-1.3123949308533849</v>
      </c>
      <c r="F108" s="6">
        <v>-6.6399421280377027</v>
      </c>
      <c r="G108" s="106">
        <f t="shared" si="64"/>
        <v>0.87308532290147156</v>
      </c>
      <c r="I108" s="72">
        <v>0.96689639605107647</v>
      </c>
      <c r="J108" s="10">
        <f t="shared" si="46"/>
        <v>4</v>
      </c>
      <c r="K108" s="10">
        <f t="shared" si="47"/>
        <v>10</v>
      </c>
      <c r="L108" s="10">
        <f t="shared" si="48"/>
        <v>0</v>
      </c>
      <c r="M108" s="10"/>
      <c r="N108" s="182">
        <f t="shared" ca="1" si="65"/>
        <v>0.51048568798858818</v>
      </c>
      <c r="O108" s="11">
        <v>1</v>
      </c>
      <c r="P108" s="11">
        <f t="shared" ca="1" si="66"/>
        <v>0.54457396899830779</v>
      </c>
      <c r="Q108" s="11">
        <f t="shared" ca="1" si="66"/>
        <v>0.66264801268166984</v>
      </c>
      <c r="R108" s="11">
        <f t="shared" ca="1" si="66"/>
        <v>0.62345543229275624</v>
      </c>
      <c r="S108" s="11">
        <f t="shared" ca="1" si="66"/>
        <v>0.16631666597246209</v>
      </c>
      <c r="T108" s="10"/>
      <c r="U108" s="10"/>
      <c r="V108" s="10"/>
      <c r="W108" s="10"/>
      <c r="X108" s="10"/>
      <c r="Z108" s="60">
        <f ca="1">IF(neural_net!Z$12,0,MMULT($O108:$S108,V$14:V$18))</f>
        <v>0.7268872050406715</v>
      </c>
      <c r="AA108" s="60">
        <f ca="1">IF(neural_net!AA$12,0,MMULT($O108:$S108,W$14:W$18))</f>
        <v>-1.4493323125846549</v>
      </c>
      <c r="AB108" s="60">
        <f ca="1">IF(neural_net!AB$12,0,MMULT($O108:$S108,X$14:X$18))</f>
        <v>-0.56290323935024378</v>
      </c>
      <c r="AC108" s="58"/>
      <c r="AD108" s="60">
        <v>1</v>
      </c>
      <c r="AE108" s="60">
        <f t="shared" ca="1" si="49"/>
        <v>0.62115727959151501</v>
      </c>
      <c r="AF108" s="60">
        <f t="shared" ca="1" si="50"/>
        <v>-0.89556077017163949</v>
      </c>
      <c r="AG108" s="60">
        <f t="shared" ca="1" si="51"/>
        <v>-0.51012833909618183</v>
      </c>
      <c r="AH108" s="60">
        <f t="shared" ca="1" si="52"/>
        <v>0.69536965483053659</v>
      </c>
      <c r="AI108" s="60">
        <f t="shared" ca="1" si="53"/>
        <v>0.49001912691830629</v>
      </c>
      <c r="AJ108" s="60">
        <f t="shared" ca="1" si="54"/>
        <v>0.77905752076568158</v>
      </c>
      <c r="AK108" s="25"/>
      <c r="AL108" s="25"/>
      <c r="AM108" s="25"/>
      <c r="AN108" s="25"/>
      <c r="AP108" s="62">
        <f ca="1">IF(neural_net!AP$12,0,MMULT($AD108:$AG108,AM$14:AM$17))</f>
        <v>0.5565290965857741</v>
      </c>
      <c r="AQ108" s="62">
        <f ca="1">IF(neural_net!AQ$12,0,MMULT($AD108:$AG108,AN$14:AN$17))</f>
        <v>0.59726293514504514</v>
      </c>
      <c r="AR108" s="24"/>
      <c r="AS108" s="62">
        <v>1</v>
      </c>
      <c r="AT108" s="62">
        <f t="shared" ca="1" si="55"/>
        <v>0.5565290965857741</v>
      </c>
      <c r="AU108" s="62">
        <f t="shared" ca="1" si="56"/>
        <v>0.59726293514504514</v>
      </c>
      <c r="AV108" s="118">
        <f t="shared" ca="1" si="57"/>
        <v>1</v>
      </c>
      <c r="AW108" s="118">
        <f t="shared" ca="1" si="58"/>
        <v>1</v>
      </c>
      <c r="AX108" s="24"/>
      <c r="AY108" s="24"/>
      <c r="AZ108" s="24"/>
      <c r="BB108" s="65">
        <f t="shared" ca="1" si="59"/>
        <v>0.11755388827895355</v>
      </c>
      <c r="BC108" s="36"/>
      <c r="BD108" s="65">
        <f t="shared" ca="1" si="60"/>
        <v>0.52935467570139094</v>
      </c>
      <c r="BE108" s="65">
        <f t="shared" ca="1" si="61"/>
        <v>0.24913830301446616</v>
      </c>
      <c r="BF108" s="183">
        <f t="shared" ca="1" si="62"/>
        <v>0.51048568798858818</v>
      </c>
      <c r="BG108" s="183">
        <f t="shared" ca="1" si="63"/>
        <v>0.52935467570139094</v>
      </c>
    </row>
    <row r="109" spans="2:59">
      <c r="B109" s="1">
        <v>96</v>
      </c>
      <c r="C109" s="6">
        <v>-4.4025674239757615</v>
      </c>
      <c r="D109" s="6">
        <v>-0.51747642523104331</v>
      </c>
      <c r="E109" s="6">
        <v>1.3784012474202132</v>
      </c>
      <c r="F109" s="6">
        <v>5.6204375288374084</v>
      </c>
      <c r="G109" s="106">
        <f t="shared" si="64"/>
        <v>0.99999999999069678</v>
      </c>
      <c r="I109" s="72">
        <v>3.5425952212681078E-2</v>
      </c>
      <c r="J109" s="10">
        <f t="shared" si="46"/>
        <v>98</v>
      </c>
      <c r="K109" s="10">
        <f t="shared" si="47"/>
        <v>10</v>
      </c>
      <c r="L109" s="10">
        <f t="shared" si="48"/>
        <v>0</v>
      </c>
      <c r="M109" s="10"/>
      <c r="N109" s="182">
        <f t="shared" ca="1" si="65"/>
        <v>3.8623058624757466E-5</v>
      </c>
      <c r="O109" s="11">
        <v>1</v>
      </c>
      <c r="P109" s="11">
        <f t="shared" ca="1" si="66"/>
        <v>0.93537675455374558</v>
      </c>
      <c r="Q109" s="11">
        <f t="shared" ca="1" si="66"/>
        <v>0.37272412356352852</v>
      </c>
      <c r="R109" s="11">
        <f t="shared" ca="1" si="66"/>
        <v>0.67660506356102068</v>
      </c>
      <c r="S109" s="11">
        <f t="shared" ca="1" si="66"/>
        <v>0.5174454277216427</v>
      </c>
      <c r="T109" s="10"/>
      <c r="U109" s="10"/>
      <c r="V109" s="10"/>
      <c r="W109" s="10"/>
      <c r="X109" s="10"/>
      <c r="Z109" s="60">
        <f ca="1">IF(neural_net!Z$12,0,MMULT($O109:$S109,V$14:V$18))</f>
        <v>0.35600902135072876</v>
      </c>
      <c r="AA109" s="60">
        <f ca="1">IF(neural_net!AA$12,0,MMULT($O109:$S109,W$14:W$18))</f>
        <v>-1.8325665237455113</v>
      </c>
      <c r="AB109" s="60">
        <f ca="1">IF(neural_net!AB$12,0,MMULT($O109:$S109,X$14:X$18))</f>
        <v>-0.61750730231197704</v>
      </c>
      <c r="AC109" s="58"/>
      <c r="AD109" s="60">
        <v>1</v>
      </c>
      <c r="AE109" s="60">
        <f t="shared" ca="1" si="49"/>
        <v>0.34169384007583642</v>
      </c>
      <c r="AF109" s="60">
        <f t="shared" ca="1" si="50"/>
        <v>-0.95007654866349511</v>
      </c>
      <c r="AG109" s="60">
        <f t="shared" ca="1" si="51"/>
        <v>-0.54939008410937307</v>
      </c>
      <c r="AH109" s="60">
        <f t="shared" ca="1" si="52"/>
        <v>0.89176640550160169</v>
      </c>
      <c r="AI109" s="60">
        <f t="shared" ca="1" si="53"/>
        <v>0.45266976410558801</v>
      </c>
      <c r="AJ109" s="60">
        <f t="shared" ca="1" si="54"/>
        <v>0.74993704384777748</v>
      </c>
      <c r="AK109" s="25"/>
      <c r="AL109" s="25"/>
      <c r="AM109" s="25"/>
      <c r="AN109" s="25"/>
      <c r="AP109" s="62">
        <f ca="1">IF(neural_net!AP$12,0,MMULT($AD109:$AG109,AM$14:AM$17))</f>
        <v>0.7421474559085105</v>
      </c>
      <c r="AQ109" s="62">
        <f ca="1">IF(neural_net!AQ$12,0,MMULT($AD109:$AG109,AN$14:AN$17))</f>
        <v>0.43594903323274697</v>
      </c>
      <c r="AR109" s="24"/>
      <c r="AS109" s="62">
        <v>1</v>
      </c>
      <c r="AT109" s="62">
        <f t="shared" ca="1" si="55"/>
        <v>0.7421474559085105</v>
      </c>
      <c r="AU109" s="62">
        <f t="shared" ca="1" si="56"/>
        <v>0.43594903323274697</v>
      </c>
      <c r="AV109" s="118">
        <f t="shared" ca="1" si="57"/>
        <v>1</v>
      </c>
      <c r="AW109" s="118">
        <f t="shared" ca="1" si="58"/>
        <v>1</v>
      </c>
      <c r="AX109" s="24"/>
      <c r="AY109" s="24"/>
      <c r="AZ109" s="24"/>
      <c r="BB109" s="65">
        <f t="shared" ca="1" si="59"/>
        <v>2.0514190541979505E-3</v>
      </c>
      <c r="BC109" s="36"/>
      <c r="BD109" s="65">
        <f t="shared" ca="1" si="60"/>
        <v>0.50051285458369477</v>
      </c>
      <c r="BE109" s="65">
        <f t="shared" ca="1" si="61"/>
        <v>0.249999736980176</v>
      </c>
      <c r="BF109" s="183">
        <f t="shared" ca="1" si="62"/>
        <v>3.8623058624757466E-5</v>
      </c>
      <c r="BG109" s="183">
        <f t="shared" ca="1" si="63"/>
        <v>0.50051285458369477</v>
      </c>
    </row>
    <row r="110" spans="2:59">
      <c r="B110" s="1">
        <v>97</v>
      </c>
      <c r="C110" s="6">
        <v>-7.7164954637967895</v>
      </c>
      <c r="D110" s="6">
        <v>-2.9897305920246313</v>
      </c>
      <c r="E110" s="6">
        <v>-5.5362813928905457</v>
      </c>
      <c r="F110" s="6">
        <v>15.226606243145701</v>
      </c>
      <c r="G110" s="106">
        <f t="shared" si="64"/>
        <v>0.99963846753270624</v>
      </c>
      <c r="I110" s="72">
        <v>0.30187667712663291</v>
      </c>
      <c r="J110" s="10">
        <f t="shared" ref="J110:J113" si="67">RANK(I110,shuffle,0)</f>
        <v>69</v>
      </c>
      <c r="K110" s="10">
        <f t="shared" si="47"/>
        <v>10</v>
      </c>
      <c r="L110" s="10">
        <f t="shared" ref="L110:L113" si="68">(K110=batch_num)/1</f>
        <v>0</v>
      </c>
      <c r="M110" s="10"/>
      <c r="N110" s="182">
        <f t="shared" ca="1" si="65"/>
        <v>0.13549578607530782</v>
      </c>
      <c r="O110" s="11">
        <v>1</v>
      </c>
      <c r="P110" s="11">
        <f t="shared" ca="1" si="66"/>
        <v>0.50985223900544574</v>
      </c>
      <c r="Q110" s="11">
        <f t="shared" ca="1" si="66"/>
        <v>0.66170752260232613</v>
      </c>
      <c r="R110" s="11">
        <f t="shared" ca="1" si="66"/>
        <v>8.2733985793638068E-2</v>
      </c>
      <c r="S110" s="11">
        <f t="shared" ca="1" si="66"/>
        <v>0.30727131001989583</v>
      </c>
      <c r="T110" s="10"/>
      <c r="U110" s="10"/>
      <c r="V110" s="10"/>
      <c r="W110" s="10"/>
      <c r="X110" s="10"/>
      <c r="Z110" s="60">
        <f ca="1">IF(neural_net!Z$12,0,MMULT($O110:$S110,V$14:V$18))</f>
        <v>0.62298186109948084</v>
      </c>
      <c r="AA110" s="60">
        <f ca="1">IF(neural_net!AA$12,0,MMULT($O110:$S110,W$14:W$18))</f>
        <v>-1.3777111461080875</v>
      </c>
      <c r="AB110" s="60">
        <f ca="1">IF(neural_net!AB$12,0,MMULT($O110:$S110,X$14:X$18))</f>
        <v>-0.29047764719808894</v>
      </c>
      <c r="AC110" s="58"/>
      <c r="AD110" s="60">
        <v>1</v>
      </c>
      <c r="AE110" s="60">
        <f t="shared" ca="1" si="49"/>
        <v>0.55320076042956667</v>
      </c>
      <c r="AF110" s="60">
        <f t="shared" ca="1" si="50"/>
        <v>-0.8804377021106089</v>
      </c>
      <c r="AG110" s="60">
        <f t="shared" ca="1" si="51"/>
        <v>-0.28257437985576961</v>
      </c>
      <c r="AH110" s="60">
        <f t="shared" ca="1" si="52"/>
        <v>0.74707623079598839</v>
      </c>
      <c r="AI110" s="60">
        <f t="shared" ca="1" si="53"/>
        <v>0.50066198934222372</v>
      </c>
      <c r="AJ110" s="60">
        <f t="shared" ca="1" si="54"/>
        <v>0.92421759077316779</v>
      </c>
      <c r="AK110" s="25"/>
      <c r="AL110" s="25"/>
      <c r="AM110" s="25"/>
      <c r="AN110" s="25"/>
      <c r="AP110" s="62">
        <f ca="1">IF(neural_net!AP$12,0,MMULT($AD110:$AG110,AM$14:AM$17))</f>
        <v>0.85880110207769245</v>
      </c>
      <c r="AQ110" s="62">
        <f ca="1">IF(neural_net!AQ$12,0,MMULT($AD110:$AG110,AN$14:AN$17))</f>
        <v>0.31818671016127553</v>
      </c>
      <c r="AR110" s="24"/>
      <c r="AS110" s="62">
        <v>1</v>
      </c>
      <c r="AT110" s="62">
        <f t="shared" ca="1" si="55"/>
        <v>0.85880110207769245</v>
      </c>
      <c r="AU110" s="62">
        <f t="shared" ca="1" si="56"/>
        <v>0.31818671016127553</v>
      </c>
      <c r="AV110" s="118">
        <f t="shared" ca="1" si="57"/>
        <v>1</v>
      </c>
      <c r="AW110" s="118">
        <f t="shared" ca="1" si="58"/>
        <v>1</v>
      </c>
      <c r="AX110" s="24"/>
      <c r="AY110" s="24"/>
      <c r="AZ110" s="24"/>
      <c r="BB110" s="65">
        <f t="shared" ca="1" si="59"/>
        <v>-7.4114496887110984E-2</v>
      </c>
      <c r="BC110" s="36"/>
      <c r="BD110" s="65">
        <f t="shared" ca="1" si="60"/>
        <v>0.48147985253589387</v>
      </c>
      <c r="BE110" s="65">
        <f t="shared" ref="BE110:BE113" ca="1" si="69" xml:space="preserve">
IF(activation_4="Sigmoid",BD110*(1-BD110),
IF(activation_4="Tanh",1-TANH(BD110)^2,
IF(activation_4="Leaky ReLU",IF(BD110&gt;0.01,1,0),
IF(activation_4="Exponential",AT110*EXP(AT110),0)
)))</f>
        <v>0.24965700413790776</v>
      </c>
      <c r="BF110" s="183">
        <f t="shared" ca="1" si="62"/>
        <v>0.13549578607530782</v>
      </c>
      <c r="BG110" s="183">
        <f t="shared" ca="1" si="63"/>
        <v>0.48147985253589387</v>
      </c>
    </row>
    <row r="111" spans="2:59">
      <c r="B111" s="1">
        <v>98</v>
      </c>
      <c r="C111" s="6">
        <v>14.036405352276384</v>
      </c>
      <c r="D111" s="6">
        <v>-8.4552065870086093</v>
      </c>
      <c r="E111" s="6">
        <v>10.82427936691702</v>
      </c>
      <c r="F111" s="6">
        <v>1.04454199167145</v>
      </c>
      <c r="G111" s="106">
        <f t="shared" si="64"/>
        <v>3.8623058624757466E-5</v>
      </c>
      <c r="I111" s="72">
        <v>6.1710396508828591E-2</v>
      </c>
      <c r="J111" s="10">
        <f t="shared" si="67"/>
        <v>94</v>
      </c>
      <c r="K111" s="10">
        <f t="shared" si="47"/>
        <v>10</v>
      </c>
      <c r="L111" s="10">
        <f t="shared" si="68"/>
        <v>0</v>
      </c>
      <c r="M111" s="10"/>
      <c r="N111" s="182">
        <f t="shared" ca="1" si="65"/>
        <v>0.34477473219702914</v>
      </c>
      <c r="O111" s="11">
        <v>1</v>
      </c>
      <c r="P111" s="11">
        <f t="shared" ca="1" si="66"/>
        <v>0.60798136963609017</v>
      </c>
      <c r="Q111" s="11">
        <f t="shared" ca="1" si="66"/>
        <v>0.2732528848296446</v>
      </c>
      <c r="R111" s="11">
        <f t="shared" ca="1" si="66"/>
        <v>0.19799577435659108</v>
      </c>
      <c r="S111" s="11">
        <f t="shared" ca="1" si="66"/>
        <v>0</v>
      </c>
      <c r="T111" s="10"/>
      <c r="U111" s="10"/>
      <c r="V111" s="10"/>
      <c r="W111" s="10"/>
      <c r="X111" s="10"/>
      <c r="Z111" s="60">
        <f ca="1">IF(neural_net!Z$12,0,MMULT($O111:$S111,V$14:V$18))</f>
        <v>0.52521125116574496</v>
      </c>
      <c r="AA111" s="60">
        <f ca="1">IF(neural_net!AA$12,0,MMULT($O111:$S111,W$14:W$18))</f>
        <v>-0.92651731879419996</v>
      </c>
      <c r="AB111" s="60">
        <f ca="1">IF(neural_net!AB$12,0,MMULT($O111:$S111,X$14:X$18))</f>
        <v>-0.15380476346220318</v>
      </c>
      <c r="AC111" s="58"/>
      <c r="AD111" s="60">
        <v>1</v>
      </c>
      <c r="AE111" s="60">
        <f t="shared" ca="1" si="49"/>
        <v>0.48171204594569539</v>
      </c>
      <c r="AF111" s="60">
        <f t="shared" ca="1" si="50"/>
        <v>-0.72896602130040211</v>
      </c>
      <c r="AG111" s="60">
        <f t="shared" ca="1" si="51"/>
        <v>-0.15260333357637068</v>
      </c>
      <c r="AH111" s="60">
        <f t="shared" ca="1" si="52"/>
        <v>0.79964199108326328</v>
      </c>
      <c r="AI111" s="60">
        <f t="shared" ca="1" si="53"/>
        <v>0.61257795147122507</v>
      </c>
      <c r="AJ111" s="60">
        <f t="shared" ca="1" si="54"/>
        <v>0.97706905573889957</v>
      </c>
      <c r="AK111" s="25"/>
      <c r="AL111" s="25"/>
      <c r="AM111" s="25"/>
      <c r="AN111" s="25"/>
      <c r="AP111" s="62">
        <f ca="1">IF(neural_net!AP$12,0,MMULT($AD111:$AG111,AM$14:AM$17))</f>
        <v>0.99941976216623596</v>
      </c>
      <c r="AQ111" s="62">
        <f ca="1">IF(neural_net!AQ$12,0,MMULT($AD111:$AG111,AN$14:AN$17))</f>
        <v>8.9908134668992334E-2</v>
      </c>
      <c r="AR111" s="24"/>
      <c r="AS111" s="62">
        <v>1</v>
      </c>
      <c r="AT111" s="62">
        <f t="shared" ca="1" si="55"/>
        <v>0.99941976216623596</v>
      </c>
      <c r="AU111" s="62">
        <f t="shared" ca="1" si="56"/>
        <v>8.9908134668992334E-2</v>
      </c>
      <c r="AV111" s="118">
        <f t="shared" ca="1" si="57"/>
        <v>1</v>
      </c>
      <c r="AW111" s="118">
        <f t="shared" ca="1" si="58"/>
        <v>1</v>
      </c>
      <c r="AX111" s="24"/>
      <c r="AY111" s="24"/>
      <c r="AZ111" s="24"/>
      <c r="BB111" s="65">
        <f t="shared" ca="1" si="59"/>
        <v>-0.18477666652366725</v>
      </c>
      <c r="BC111" s="36"/>
      <c r="BD111" s="65">
        <f t="shared" ca="1" si="60"/>
        <v>0.45393681788086099</v>
      </c>
      <c r="BE111" s="65">
        <f t="shared" ca="1" si="69"/>
        <v>0.24787818325305905</v>
      </c>
      <c r="BF111" s="183">
        <f t="shared" ca="1" si="62"/>
        <v>0.34477473219702914</v>
      </c>
      <c r="BG111" s="183">
        <f t="shared" ca="1" si="63"/>
        <v>0.45393681788086099</v>
      </c>
    </row>
    <row r="112" spans="2:59">
      <c r="B112" s="1">
        <v>99</v>
      </c>
      <c r="C112" s="6">
        <v>-4.7089635662962062</v>
      </c>
      <c r="D112" s="6">
        <v>-2.8428390395388723</v>
      </c>
      <c r="E112" s="6">
        <v>-14.293817664102374</v>
      </c>
      <c r="F112" s="6">
        <v>-5.0541239072739144</v>
      </c>
      <c r="G112" s="106">
        <f t="shared" si="64"/>
        <v>0.97221862750432075</v>
      </c>
      <c r="I112" s="72">
        <v>0.30164924535155535</v>
      </c>
      <c r="J112" s="10">
        <f t="shared" si="67"/>
        <v>70</v>
      </c>
      <c r="K112" s="10">
        <f t="shared" si="47"/>
        <v>10</v>
      </c>
      <c r="L112" s="10">
        <f t="shared" si="68"/>
        <v>0</v>
      </c>
      <c r="M112" s="10"/>
      <c r="N112" s="182">
        <f t="shared" ca="1" si="65"/>
        <v>0.70707481158919161</v>
      </c>
      <c r="O112" s="11">
        <v>1</v>
      </c>
      <c r="P112" s="11">
        <f t="shared" ca="1" si="66"/>
        <v>0.51833531996299786</v>
      </c>
      <c r="Q112" s="11">
        <f t="shared" ca="1" si="66"/>
        <v>0.30488266862479801</v>
      </c>
      <c r="R112" s="11">
        <f t="shared" ca="1" si="66"/>
        <v>0.59033395687606438</v>
      </c>
      <c r="S112" s="11">
        <f t="shared" ca="1" si="66"/>
        <v>0.32299467960419304</v>
      </c>
      <c r="T112" s="10"/>
      <c r="U112" s="10"/>
      <c r="V112" s="10"/>
      <c r="W112" s="10"/>
      <c r="X112" s="10"/>
      <c r="Z112" s="60">
        <f ca="1">IF(neural_net!Z$12,0,MMULT($O112:$S112,V$14:V$18))</f>
        <v>0.44694459521206958</v>
      </c>
      <c r="AA112" s="60">
        <f ca="1">IF(neural_net!AA$12,0,MMULT($O112:$S112,W$14:W$18))</f>
        <v>-1.2413897445496418</v>
      </c>
      <c r="AB112" s="60">
        <f ca="1">IF(neural_net!AB$12,0,MMULT($O112:$S112,X$14:X$18))</f>
        <v>-0.78361056140499119</v>
      </c>
      <c r="AC112" s="58"/>
      <c r="AD112" s="60">
        <v>1</v>
      </c>
      <c r="AE112" s="60">
        <f t="shared" ca="1" si="49"/>
        <v>0.41938422485007537</v>
      </c>
      <c r="AF112" s="60">
        <f t="shared" ca="1" si="50"/>
        <v>-0.84585149217230537</v>
      </c>
      <c r="AG112" s="60">
        <f t="shared" ca="1" si="51"/>
        <v>-0.65477419287346927</v>
      </c>
      <c r="AH112" s="60">
        <f t="shared" ca="1" si="52"/>
        <v>0.84285788477863322</v>
      </c>
      <c r="AI112" s="60">
        <f t="shared" ca="1" si="53"/>
        <v>0.52542233529813087</v>
      </c>
      <c r="AJ112" s="60">
        <f t="shared" ca="1" si="54"/>
        <v>0.66951856269750165</v>
      </c>
      <c r="AK112" s="25"/>
      <c r="AL112" s="25"/>
      <c r="AM112" s="25"/>
      <c r="AN112" s="25"/>
      <c r="AP112" s="62">
        <f ca="1">IF(neural_net!AP$12,0,MMULT($AD112:$AG112,AM$14:AM$17))</f>
        <v>0.52374657110583311</v>
      </c>
      <c r="AQ112" s="62">
        <f ca="1">IF(neural_net!AQ$12,0,MMULT($AD112:$AG112,AN$14:AN$17))</f>
        <v>0.56700498102967334</v>
      </c>
      <c r="AR112" s="24"/>
      <c r="AS112" s="62">
        <v>1</v>
      </c>
      <c r="AT112" s="62">
        <f t="shared" ca="1" si="55"/>
        <v>0.52374657110583311</v>
      </c>
      <c r="AU112" s="62">
        <f t="shared" ca="1" si="56"/>
        <v>0.56700498102967334</v>
      </c>
      <c r="AV112" s="118">
        <f t="shared" ca="1" si="57"/>
        <v>1</v>
      </c>
      <c r="AW112" s="118">
        <f t="shared" ca="1" si="58"/>
        <v>1</v>
      </c>
      <c r="AX112" s="24"/>
      <c r="AY112" s="24"/>
      <c r="AZ112" s="24"/>
      <c r="BB112" s="65">
        <f t="shared" ca="1" si="59"/>
        <v>0.12512530604928387</v>
      </c>
      <c r="BC112" s="36"/>
      <c r="BD112" s="65">
        <f t="shared" ca="1" si="60"/>
        <v>0.53124057771278188</v>
      </c>
      <c r="BE112" s="65">
        <f t="shared" ca="1" si="69"/>
        <v>0.24902402630417164</v>
      </c>
      <c r="BF112" s="183">
        <f t="shared" ca="1" si="62"/>
        <v>0.70707481158919161</v>
      </c>
      <c r="BG112" s="183">
        <f t="shared" ca="1" si="63"/>
        <v>0.53124057771278188</v>
      </c>
    </row>
    <row r="113" spans="2:59">
      <c r="B113" s="1">
        <v>100</v>
      </c>
      <c r="C113" s="6">
        <v>-10.049457251800661</v>
      </c>
      <c r="D113" s="6">
        <v>-19.539756935892211</v>
      </c>
      <c r="E113" s="6">
        <v>9.3985241073885923</v>
      </c>
      <c r="F113" s="6">
        <v>-10.805365260247402</v>
      </c>
      <c r="G113" s="106">
        <f t="shared" si="64"/>
        <v>0.87844915865506068</v>
      </c>
      <c r="I113" s="72">
        <v>0.46742190134652417</v>
      </c>
      <c r="J113" s="10">
        <f t="shared" si="67"/>
        <v>54</v>
      </c>
      <c r="K113" s="10">
        <f t="shared" si="47"/>
        <v>10</v>
      </c>
      <c r="L113" s="10">
        <f t="shared" si="68"/>
        <v>0</v>
      </c>
      <c r="M113" s="10"/>
      <c r="N113" s="182">
        <f t="shared" ca="1" si="65"/>
        <v>0.88285216674353006</v>
      </c>
      <c r="O113" s="11">
        <v>1</v>
      </c>
      <c r="P113" s="11">
        <f t="shared" ca="1" si="66"/>
        <v>0.29372315259487825</v>
      </c>
      <c r="Q113" s="11">
        <f t="shared" ca="1" si="66"/>
        <v>0.23292345276849888</v>
      </c>
      <c r="R113" s="11">
        <f t="shared" ca="1" si="66"/>
        <v>0.29321406216145546</v>
      </c>
      <c r="S113" s="11">
        <f t="shared" ca="1" si="66"/>
        <v>0.99932888700886791</v>
      </c>
      <c r="T113" s="10"/>
      <c r="U113" s="10"/>
      <c r="V113" s="10"/>
      <c r="W113" s="10"/>
      <c r="X113" s="10"/>
      <c r="Z113" s="60">
        <f ca="1">IF(neural_net!Z$12,0,MMULT($O113:$S113,V$14:V$18))</f>
        <v>0.11096803798847593</v>
      </c>
      <c r="AA113" s="60">
        <f ca="1">IF(neural_net!AA$12,0,MMULT($O113:$S113,W$14:W$18))</f>
        <v>-1.4384408364363135</v>
      </c>
      <c r="AB113" s="60">
        <f ca="1">IF(neural_net!AB$12,0,MMULT($O113:$S113,X$14:X$18))</f>
        <v>-1.3127475177868884</v>
      </c>
      <c r="AC113" s="58"/>
      <c r="AD113" s="60">
        <v>1</v>
      </c>
      <c r="AE113" s="60">
        <f t="shared" ca="1" si="49"/>
        <v>0.11051478706381214</v>
      </c>
      <c r="AF113" s="60">
        <f t="shared" ca="1" si="50"/>
        <v>-0.89338342305794416</v>
      </c>
      <c r="AG113" s="60">
        <f t="shared" ca="1" si="51"/>
        <v>-0.86496896314804006</v>
      </c>
      <c r="AH113" s="60">
        <f t="shared" ca="1" si="52"/>
        <v>0.98788524460762428</v>
      </c>
      <c r="AI113" s="60">
        <f t="shared" ca="1" si="53"/>
        <v>0.49154422478556703</v>
      </c>
      <c r="AJ113" s="60">
        <f t="shared" ca="1" si="54"/>
        <v>0.51166603693497414</v>
      </c>
      <c r="AK113" s="25"/>
      <c r="AL113" s="25"/>
      <c r="AM113" s="25"/>
      <c r="AN113" s="25"/>
      <c r="AP113" s="62">
        <f ca="1">IF(neural_net!AP$12,0,MMULT($AD113:$AG113,AM$14:AM$17))</f>
        <v>0.53509184791019448</v>
      </c>
      <c r="AQ113" s="62">
        <f ca="1">IF(neural_net!AQ$12,0,MMULT($AD113:$AG113,AN$14:AN$17))</f>
        <v>0.54747596776591556</v>
      </c>
      <c r="AR113" s="24"/>
      <c r="AS113" s="62">
        <v>1</v>
      </c>
      <c r="AT113" s="62">
        <f t="shared" ca="1" si="55"/>
        <v>0.53509184791019448</v>
      </c>
      <c r="AU113" s="62">
        <f t="shared" ca="1" si="56"/>
        <v>0.54747596776591556</v>
      </c>
      <c r="AV113" s="118">
        <f t="shared" ca="1" si="57"/>
        <v>1</v>
      </c>
      <c r="AW113" s="118">
        <f t="shared" ca="1" si="58"/>
        <v>1</v>
      </c>
      <c r="AX113" s="24"/>
      <c r="AY113" s="24"/>
      <c r="AZ113" s="24"/>
      <c r="BB113" s="65">
        <f t="shared" ca="1" si="59"/>
        <v>0.11595431345005623</v>
      </c>
      <c r="BC113" s="36"/>
      <c r="BD113" s="65">
        <f t="shared" ca="1" si="60"/>
        <v>0.52895614171478667</v>
      </c>
      <c r="BE113" s="65">
        <f t="shared" ca="1" si="69"/>
        <v>0.24916154185699319</v>
      </c>
      <c r="BF113" s="183">
        <f t="shared" ca="1" si="62"/>
        <v>0.88285216674353006</v>
      </c>
      <c r="BG113" s="183">
        <f ca="1">((MAX(y)-MIN(y))*BD113)+MIN(y)</f>
        <v>0.52895614171478667</v>
      </c>
    </row>
    <row r="114" spans="2:59">
      <c r="I114" s="70"/>
      <c r="J114" s="70"/>
      <c r="K114" s="9"/>
      <c r="L114" s="9"/>
      <c r="M114" s="9"/>
      <c r="N114" s="9"/>
      <c r="O114" s="82"/>
      <c r="P114" s="82"/>
      <c r="Q114" s="82"/>
      <c r="R114" s="82"/>
      <c r="S114" s="82"/>
      <c r="T114" s="82"/>
      <c r="U114" s="82"/>
      <c r="V114" s="82"/>
      <c r="W114" s="82"/>
      <c r="X114" s="82"/>
      <c r="Z114" s="83"/>
      <c r="AA114" s="83"/>
      <c r="AB114" s="83"/>
      <c r="AC114" s="83"/>
      <c r="AD114" s="83"/>
      <c r="AE114" s="83"/>
      <c r="AF114" s="83"/>
      <c r="AG114" s="83"/>
      <c r="AH114" s="110"/>
      <c r="AI114" s="110"/>
      <c r="AJ114" s="110"/>
      <c r="AK114" s="83"/>
      <c r="AL114" s="83"/>
      <c r="AM114" s="83"/>
      <c r="AN114" s="83"/>
      <c r="AP114" s="84"/>
      <c r="AQ114" s="84"/>
      <c r="AR114" s="84"/>
      <c r="AS114" s="84"/>
      <c r="AT114" s="84"/>
      <c r="AU114" s="112"/>
      <c r="AV114" s="112"/>
      <c r="AW114" s="84"/>
      <c r="AX114" s="84"/>
      <c r="AY114" s="84"/>
      <c r="AZ114" s="84"/>
      <c r="BA114" s="8"/>
      <c r="BB114" s="81"/>
      <c r="BC114" s="81"/>
      <c r="BD114" s="81"/>
      <c r="BE114" s="108"/>
    </row>
    <row r="115" spans="2:59" ht="32">
      <c r="B115" s="39" t="s">
        <v>139</v>
      </c>
      <c r="C115" s="2" t="s">
        <v>4</v>
      </c>
      <c r="D115" s="2" t="s">
        <v>3</v>
      </c>
      <c r="E115" s="2" t="s">
        <v>2</v>
      </c>
      <c r="F115" s="2" t="s">
        <v>1</v>
      </c>
      <c r="G115" s="2" t="s">
        <v>0</v>
      </c>
    </row>
    <row r="116" spans="2:59">
      <c r="B116" s="1">
        <v>101</v>
      </c>
      <c r="C116" s="6">
        <v>-0.81266011337407562</v>
      </c>
      <c r="D116" s="6">
        <v>1.4026356942632434</v>
      </c>
      <c r="E116" s="6">
        <v>-9.640542201831888</v>
      </c>
      <c r="F116" s="6">
        <v>-8.4956015059835313</v>
      </c>
      <c r="G116" s="106">
        <f>IFERROR((1+EXP(-(3*(C116/D116)-0.5*(E116/F116) )))^-1,1)</f>
        <v>9.0666287076306348E-2</v>
      </c>
      <c r="N116" s="11">
        <f ca="1">(G116-MIN(INDIRECT(N$13)))/(MAX(INDIRECT(N$13))-MIN(INDIRECT(N$13)))</f>
        <v>9.0666287076306348E-2</v>
      </c>
      <c r="O116" s="11">
        <v>1</v>
      </c>
      <c r="P116" s="11">
        <f t="shared" ref="P116:P147" ca="1" si="70">((C116-MIN(INDIRECT(P$13)))/(MAX(INDIRECT(P$13))-MIN(INDIRECT(P$13))))</f>
        <v>0.54225371264790678</v>
      </c>
      <c r="Q116" s="11">
        <f t="shared" ref="Q116:Q147" ca="1" si="71">((D116-MIN(INDIRECT(Q$13)))/(MAX(INDIRECT(Q$13))-MIN(INDIRECT(Q$13))))</f>
        <v>0.54197868486780942</v>
      </c>
      <c r="R116" s="11">
        <f t="shared" ref="R116:R147" ca="1" si="72">((E116-MIN(INDIRECT(R$13)))/(MAX(INDIRECT(R$13))-MIN(INDIRECT(R$13))))</f>
        <v>0.24937923923824129</v>
      </c>
      <c r="S116" s="11">
        <f t="shared" ref="S116:S147" ca="1" si="73">((F116-MIN(INDIRECT(S$13)))/(MAX(INDIRECT(S$13))-MIN(INDIRECT(S$13))))</f>
        <v>0.29178487199694969</v>
      </c>
      <c r="Z116" s="60">
        <f t="shared" ref="Z116:Z147" ca="1" si="74">MMULT($O116:$S116,V$14:V$18)</f>
        <v>0.56894947292491327</v>
      </c>
      <c r="AA116" s="60">
        <f t="shared" ref="AA116:AA147" ca="1" si="75">MMULT($O116:$S116,W$14:W$18)</f>
        <v>-1.3398534801457902</v>
      </c>
      <c r="AB116" s="60">
        <f t="shared" ref="AB116:AB147" ca="1" si="76">MMULT($O116:$S116,X$14:X$18)</f>
        <v>-0.41042378514446426</v>
      </c>
      <c r="AD116" s="60">
        <v>1</v>
      </c>
      <c r="AE116" s="60">
        <f ca="1" xml:space="preserve">
IF(activation_2="Sigmoid",(1+EXP(-Z116))^-1,
IF(activation_2="Tanh",TANH(Z116),
IF(activation_2="Leaky ReLU",MAX(Z116,0),
IF(activation_2="Exponential",EXP(Z116),0)
)))</f>
        <v>0.51458734822768282</v>
      </c>
      <c r="AF116" s="60">
        <f ca="1" xml:space="preserve">
IF(activation_2="Sigmoid",(1+EXP(-AA116))^-1,
IF(activation_2="Tanh",TANH(AA116),
IF(activation_2="Leaky ReLU",MAX(AA116,0),
IF(activation_2="Exponential",EXP(AA116),0)
)))</f>
        <v>-0.87163705045814521</v>
      </c>
      <c r="AG116" s="60">
        <f ca="1" xml:space="preserve">
IF(activation_2="Sigmoid",(1+EXP(-AB116))^-1,
IF(activation_2="Tanh",TANH(AB116),
IF(activation_2="Leaky ReLU",MAX(AB116,0),
IF(activation_2="Exponential",EXP(AB116),0)
)))</f>
        <v>-0.38883245226029395</v>
      </c>
      <c r="AP116" s="62">
        <f t="shared" ref="AP116:AP147" ca="1" si="77">MMULT($AD116:$AG116,AM$14:AM$17)</f>
        <v>0.76387772330376691</v>
      </c>
      <c r="AQ116" s="62">
        <f t="shared" ref="AQ116:AQ147" ca="1" si="78">MMULT($AD116:$AG116,AN$14:AN$17)</f>
        <v>0.38923090556199091</v>
      </c>
      <c r="AS116" s="62">
        <v>1</v>
      </c>
      <c r="AT116" s="62">
        <f t="shared" ref="AT116:AT147" ca="1" si="79" xml:space="preserve">
IF(activation_3="Sigmoid",(1+EXP(-AP116))^-1,
IF(activation_3="Tanh",TANH(AP116),
IF(activation_3="Leaky ReLU",MAX(AP116,0),
IF(activation_3="Exponential",EXP(AP116),0)
)))</f>
        <v>0.76387772330376691</v>
      </c>
      <c r="AU116" s="62">
        <f t="shared" ref="AU116:AU147" ca="1" si="80" xml:space="preserve">
IF(activation_3="Sigmoid",(1+EXP(-AQ116))^-1,
IF(activation_3="Tanh",TANH(AQ116),
IF(activation_3="Leaky ReLU",MAX(AQ116,0),
IF(activation_3="Exponential",EXP(AQ116),0)
)))</f>
        <v>0.38923090556199091</v>
      </c>
      <c r="BB116" s="65">
        <f ca="1">MMULT($AS116:$AU116,AZ$14:AZ$16)</f>
        <v>-1.7547847027245822E-2</v>
      </c>
      <c r="BD116" s="65">
        <f t="shared" ref="BD116:BD147" ca="1" si="81" xml:space="preserve">
IF(activation_4="Sigmoid",(1+EXP(-BB116))^-1,
IF(activation_4="Tanh",TANH(BB116),
IF(activation_4="Leaky ReLU",MAX(BB116,0),
IF(activation_4="Exponential",EXP(BB116),0)
)))</f>
        <v>0.49561315081169638</v>
      </c>
      <c r="BG116" s="183">
        <f t="shared" ref="BG116:BG147" ca="1" si="82">((MAX(y)-MIN(y))*BD116)+MIN(y)</f>
        <v>0.49561315081169638</v>
      </c>
    </row>
    <row r="117" spans="2:59">
      <c r="B117" s="1">
        <v>102</v>
      </c>
      <c r="C117" s="6">
        <v>-2.4437969549134748</v>
      </c>
      <c r="D117" s="6">
        <v>16.684864705113341</v>
      </c>
      <c r="E117" s="6">
        <v>4.1076122778594462</v>
      </c>
      <c r="F117" s="6">
        <v>10.845422122312861</v>
      </c>
      <c r="G117" s="106">
        <f t="shared" ref="G117:G165" si="83">IFERROR((1+EXP(-(3*(C117/D117)-0.5*(E117/F117) )))^-1,1)</f>
        <v>0.34778847644277372</v>
      </c>
      <c r="N117" s="11">
        <f t="shared" ref="N117:N165" ca="1" si="84">(G117-MIN(INDIRECT(N$13)))/(MAX(INDIRECT(N$13))-MIN(INDIRECT(N$13)))</f>
        <v>0.34778847644277372</v>
      </c>
      <c r="O117" s="11">
        <v>1</v>
      </c>
      <c r="P117" s="11">
        <f t="shared" ca="1" si="70"/>
        <v>0.49907002015264573</v>
      </c>
      <c r="Q117" s="11">
        <f t="shared" ca="1" si="71"/>
        <v>0.80436744025467977</v>
      </c>
      <c r="R117" s="11">
        <f t="shared" ca="1" si="72"/>
        <v>0.53638719632066967</v>
      </c>
      <c r="S117" s="11">
        <f t="shared" ca="1" si="73"/>
        <v>0.74927339314116537</v>
      </c>
      <c r="Z117" s="60">
        <f t="shared" ca="1" si="74"/>
        <v>0.55337384308607618</v>
      </c>
      <c r="AA117" s="60">
        <f t="shared" ca="1" si="75"/>
        <v>-1.9641278067873928</v>
      </c>
      <c r="AB117" s="60">
        <f t="shared" ca="1" si="76"/>
        <v>-0.96212281949860912</v>
      </c>
      <c r="AD117" s="60">
        <v>1</v>
      </c>
      <c r="AE117" s="60">
        <f ca="1">IF(neural_net!Z$12,0,TANH(Z117))</f>
        <v>0.50304456508526851</v>
      </c>
      <c r="AF117" s="60">
        <f ca="1">IF(neural_net!AA$12,0,TANH(AA117))</f>
        <v>-0.96140356226452406</v>
      </c>
      <c r="AG117" s="60">
        <f ca="1">IF(neural_net!AB$12,0,TANH(AB117))</f>
        <v>-0.74522226001963432</v>
      </c>
      <c r="AP117" s="62">
        <f t="shared" ca="1" si="77"/>
        <v>0.40459117382966026</v>
      </c>
      <c r="AQ117" s="62">
        <f t="shared" ca="1" si="78"/>
        <v>0.75520030449234077</v>
      </c>
      <c r="AS117" s="62">
        <v>1</v>
      </c>
      <c r="AT117" s="62">
        <f t="shared" ca="1" si="79"/>
        <v>0.40459117382966026</v>
      </c>
      <c r="AU117" s="62">
        <f t="shared" ca="1" si="80"/>
        <v>0.75520030449234077</v>
      </c>
      <c r="BB117" s="65">
        <f t="shared" ref="BB117:BB165" ca="1" si="85">MMULT($AS117:$AU117,AZ$14:AZ$16)</f>
        <v>0.21775242852237825</v>
      </c>
      <c r="BD117" s="65">
        <f t="shared" ca="1" si="81"/>
        <v>0.55422401854605974</v>
      </c>
      <c r="BG117" s="183">
        <f t="shared" ca="1" si="82"/>
        <v>0.55422401854605974</v>
      </c>
    </row>
    <row r="118" spans="2:59">
      <c r="B118" s="1">
        <v>103</v>
      </c>
      <c r="C118" s="6">
        <v>2.1786084744938634</v>
      </c>
      <c r="D118" s="6">
        <v>5.6553690380943555</v>
      </c>
      <c r="E118" s="6">
        <v>-10.51065613981274</v>
      </c>
      <c r="F118" s="6">
        <v>-7.0303895331708999E-2</v>
      </c>
      <c r="G118" s="106">
        <f t="shared" si="83"/>
        <v>1.0906964608094968E-32</v>
      </c>
      <c r="N118" s="11">
        <f t="shared" ca="1" si="84"/>
        <v>1.0906964608094967E-32</v>
      </c>
      <c r="O118" s="11">
        <v>1</v>
      </c>
      <c r="P118" s="11">
        <f t="shared" ca="1" si="70"/>
        <v>0.62144634663152398</v>
      </c>
      <c r="Q118" s="11">
        <f t="shared" ca="1" si="71"/>
        <v>0.61499613594041425</v>
      </c>
      <c r="R118" s="11">
        <f t="shared" ca="1" si="72"/>
        <v>0.2312146467369183</v>
      </c>
      <c r="S118" s="11">
        <f t="shared" ca="1" si="73"/>
        <v>0.49107509666002297</v>
      </c>
      <c r="Z118" s="60">
        <f t="shared" ca="1" si="74"/>
        <v>0.51309492158310765</v>
      </c>
      <c r="AA118" s="60">
        <f t="shared" ca="1" si="75"/>
        <v>-1.6207458714708498</v>
      </c>
      <c r="AB118" s="60">
        <f t="shared" ca="1" si="76"/>
        <v>-0.46528290527591487</v>
      </c>
      <c r="AD118" s="60">
        <v>1</v>
      </c>
      <c r="AE118" s="60">
        <f ca="1">IF(neural_net!Z$12,0,TANH(Z118))</f>
        <v>0.47235310191085839</v>
      </c>
      <c r="AF118" s="60">
        <f ca="1">IF(neural_net!AA$12,0,TANH(AA118))</f>
        <v>-0.92473234800577397</v>
      </c>
      <c r="AG118" s="60">
        <f ca="1">IF(neural_net!AB$12,0,TANH(AB118))</f>
        <v>-0.43438012417416932</v>
      </c>
      <c r="AP118" s="62">
        <f t="shared" ca="1" si="77"/>
        <v>0.76481050244390048</v>
      </c>
      <c r="AQ118" s="62">
        <f t="shared" ca="1" si="78"/>
        <v>0.41717006800867745</v>
      </c>
      <c r="AS118" s="62">
        <v>1</v>
      </c>
      <c r="AT118" s="62">
        <f t="shared" ca="1" si="79"/>
        <v>0.76481050244390048</v>
      </c>
      <c r="AU118" s="62">
        <f t="shared" ca="1" si="80"/>
        <v>0.41717006800867745</v>
      </c>
      <c r="BB118" s="65">
        <f t="shared" ca="1" si="85"/>
        <v>-1.1850689344266335E-2</v>
      </c>
      <c r="BD118" s="65">
        <f t="shared" ca="1" si="81"/>
        <v>0.49703736233630147</v>
      </c>
      <c r="BG118" s="183">
        <f t="shared" ca="1" si="82"/>
        <v>0.49703736233630147</v>
      </c>
    </row>
    <row r="119" spans="2:59">
      <c r="B119" s="1">
        <v>104</v>
      </c>
      <c r="C119" s="6">
        <v>6.1142297549031444</v>
      </c>
      <c r="D119" s="6">
        <v>-10.292141716918927</v>
      </c>
      <c r="E119" s="6">
        <v>12.020996453015812</v>
      </c>
      <c r="F119" s="6">
        <v>6.6629856688687994</v>
      </c>
      <c r="G119" s="106">
        <f t="shared" si="83"/>
        <v>6.3907585277051038E-2</v>
      </c>
      <c r="N119" s="11">
        <f t="shared" ca="1" si="84"/>
        <v>6.3907585277051038E-2</v>
      </c>
      <c r="O119" s="11">
        <v>1</v>
      </c>
      <c r="P119" s="11">
        <f t="shared" ca="1" si="70"/>
        <v>0.72564033871290212</v>
      </c>
      <c r="Q119" s="11">
        <f t="shared" ca="1" si="71"/>
        <v>0.34118480281906233</v>
      </c>
      <c r="R119" s="11">
        <f t="shared" ca="1" si="72"/>
        <v>0.70158785864047779</v>
      </c>
      <c r="S119" s="11">
        <f t="shared" ca="1" si="73"/>
        <v>0.65034291745184314</v>
      </c>
      <c r="Z119" s="60">
        <f t="shared" ca="1" si="74"/>
        <v>0.30785622557464348</v>
      </c>
      <c r="AA119" s="60">
        <f t="shared" ca="1" si="75"/>
        <v>-1.7385114322711461</v>
      </c>
      <c r="AB119" s="60">
        <f t="shared" ca="1" si="76"/>
        <v>-0.93682436574014272</v>
      </c>
      <c r="AD119" s="60">
        <v>1</v>
      </c>
      <c r="AE119" s="60">
        <f ca="1">IF(neural_net!Z$12,0,TANH(Z119))</f>
        <v>0.29848557112422736</v>
      </c>
      <c r="AF119" s="60">
        <f ca="1">IF(neural_net!AA$12,0,TANH(AA119))</f>
        <v>-0.94005376361124615</v>
      </c>
      <c r="AG119" s="60">
        <f ca="1">IF(neural_net!AB$12,0,TANH(AB119))</f>
        <v>-0.73375980374223726</v>
      </c>
      <c r="AP119" s="62">
        <f t="shared" ca="1" si="77"/>
        <v>0.56176566839057951</v>
      </c>
      <c r="AQ119" s="62">
        <f t="shared" ca="1" si="78"/>
        <v>0.57922830432327488</v>
      </c>
      <c r="AS119" s="62">
        <v>1</v>
      </c>
      <c r="AT119" s="62">
        <f t="shared" ca="1" si="79"/>
        <v>0.56176566839057951</v>
      </c>
      <c r="AU119" s="62">
        <f t="shared" ca="1" si="80"/>
        <v>0.57922830432327488</v>
      </c>
      <c r="BB119" s="65">
        <f t="shared" ca="1" si="85"/>
        <v>0.11135118824312498</v>
      </c>
      <c r="BD119" s="65">
        <f t="shared" ca="1" si="81"/>
        <v>0.52780906907441327</v>
      </c>
      <c r="BG119" s="183">
        <f t="shared" ca="1" si="82"/>
        <v>0.52780906907441327</v>
      </c>
    </row>
    <row r="120" spans="2:59">
      <c r="B120" s="1">
        <v>105</v>
      </c>
      <c r="C120" s="6">
        <v>2.7380908175829344</v>
      </c>
      <c r="D120" s="6">
        <v>16.039794369703245</v>
      </c>
      <c r="E120" s="6">
        <v>0.79565919886627157</v>
      </c>
      <c r="F120" s="6">
        <v>9.1669063395299268</v>
      </c>
      <c r="G120" s="106">
        <f t="shared" si="83"/>
        <v>0.6150807188113232</v>
      </c>
      <c r="N120" s="11">
        <f t="shared" ca="1" si="84"/>
        <v>0.6150807188113232</v>
      </c>
      <c r="O120" s="11">
        <v>1</v>
      </c>
      <c r="P120" s="11">
        <f t="shared" ca="1" si="70"/>
        <v>0.63625841686695861</v>
      </c>
      <c r="Q120" s="11">
        <f t="shared" ca="1" si="71"/>
        <v>0.79329188299630637</v>
      </c>
      <c r="R120" s="11">
        <f t="shared" ca="1" si="72"/>
        <v>0.46724650630595937</v>
      </c>
      <c r="S120" s="11">
        <f t="shared" ca="1" si="73"/>
        <v>0.70957013244822398</v>
      </c>
      <c r="Z120" s="60">
        <f t="shared" ca="1" si="74"/>
        <v>0.54090246738043279</v>
      </c>
      <c r="AA120" s="60">
        <f t="shared" ca="1" si="75"/>
        <v>-2.0214522369806343</v>
      </c>
      <c r="AB120" s="60">
        <f t="shared" ca="1" si="76"/>
        <v>-0.75899911284307353</v>
      </c>
      <c r="AD120" s="60">
        <v>1</v>
      </c>
      <c r="AE120" s="60">
        <f ca="1">IF(neural_net!Z$12,0,TANH(Z120))</f>
        <v>0.49367079698854854</v>
      </c>
      <c r="AF120" s="60">
        <f ca="1">IF(neural_net!AA$12,0,TANH(AA120))</f>
        <v>-0.96551226644247468</v>
      </c>
      <c r="AG120" s="60">
        <f ca="1">IF(neural_net!AB$12,0,TANH(AB120))</f>
        <v>-0.6404870399786291</v>
      </c>
      <c r="AP120" s="62">
        <f t="shared" ca="1" si="77"/>
        <v>0.53174406463397328</v>
      </c>
      <c r="AQ120" s="62">
        <f t="shared" ca="1" si="78"/>
        <v>0.64707846775772193</v>
      </c>
      <c r="AS120" s="62">
        <v>1</v>
      </c>
      <c r="AT120" s="62">
        <f t="shared" ca="1" si="79"/>
        <v>0.53174406463397328</v>
      </c>
      <c r="AU120" s="62">
        <f t="shared" ca="1" si="80"/>
        <v>0.64707846775772193</v>
      </c>
      <c r="BB120" s="65">
        <f t="shared" ca="1" si="85"/>
        <v>0.13915065347542405</v>
      </c>
      <c r="BD120" s="65">
        <f t="shared" ca="1" si="81"/>
        <v>0.53473163932860179</v>
      </c>
      <c r="BG120" s="183">
        <f t="shared" ca="1" si="82"/>
        <v>0.53473163932860179</v>
      </c>
    </row>
    <row r="121" spans="2:59">
      <c r="B121" s="1">
        <v>106</v>
      </c>
      <c r="C121" s="6">
        <v>-6.4958659453646224</v>
      </c>
      <c r="D121" s="6">
        <v>14.396152973768338</v>
      </c>
      <c r="E121" s="6">
        <v>2.348891006636876</v>
      </c>
      <c r="F121" s="6">
        <v>-2.9395529422744953</v>
      </c>
      <c r="G121" s="106">
        <f t="shared" si="83"/>
        <v>0.27805399466213682</v>
      </c>
      <c r="N121" s="11">
        <f t="shared" ca="1" si="84"/>
        <v>0.27805399466213682</v>
      </c>
      <c r="O121" s="11">
        <v>1</v>
      </c>
      <c r="P121" s="11">
        <f t="shared" ca="1" si="70"/>
        <v>0.39179312173615022</v>
      </c>
      <c r="Q121" s="11">
        <f t="shared" ca="1" si="71"/>
        <v>0.76507132564989422</v>
      </c>
      <c r="R121" s="11">
        <f t="shared" ca="1" si="72"/>
        <v>0.49967194120212716</v>
      </c>
      <c r="S121" s="11">
        <f t="shared" ca="1" si="73"/>
        <v>0.42320648078387724</v>
      </c>
      <c r="Z121" s="60">
        <f t="shared" ca="1" si="74"/>
        <v>0.68372429620838671</v>
      </c>
      <c r="AA121" s="60">
        <f t="shared" ca="1" si="75"/>
        <v>-1.5720690630545304</v>
      </c>
      <c r="AB121" s="60">
        <f t="shared" ca="1" si="76"/>
        <v>-0.77959098520130532</v>
      </c>
      <c r="AD121" s="60">
        <v>1</v>
      </c>
      <c r="AE121" s="60">
        <f ca="1">IF(neural_net!Z$12,0,TANH(Z121))</f>
        <v>0.59393524502111472</v>
      </c>
      <c r="AF121" s="60">
        <f ca="1">IF(neural_net!AA$12,0,TANH(AA121))</f>
        <v>-0.91735425059218034</v>
      </c>
      <c r="AG121" s="60">
        <f ca="1">IF(neural_net!AB$12,0,TANH(AB121))</f>
        <v>-0.65247187944215723</v>
      </c>
      <c r="AP121" s="62">
        <f t="shared" ca="1" si="77"/>
        <v>0.42434802888975376</v>
      </c>
      <c r="AQ121" s="62">
        <f t="shared" ca="1" si="78"/>
        <v>0.72164510200317777</v>
      </c>
      <c r="AS121" s="62">
        <v>1</v>
      </c>
      <c r="AT121" s="62">
        <f t="shared" ca="1" si="79"/>
        <v>0.42434802888975376</v>
      </c>
      <c r="AU121" s="62">
        <f t="shared" ca="1" si="80"/>
        <v>0.72164510200317777</v>
      </c>
      <c r="BB121" s="65">
        <f t="shared" ca="1" si="85"/>
        <v>0.20188081071287228</v>
      </c>
      <c r="BD121" s="65">
        <f t="shared" ca="1" si="81"/>
        <v>0.55029948536741624</v>
      </c>
      <c r="BG121" s="183">
        <f t="shared" ca="1" si="82"/>
        <v>0.55029948536741624</v>
      </c>
    </row>
    <row r="122" spans="2:59">
      <c r="B122" s="1">
        <v>107</v>
      </c>
      <c r="C122" s="6">
        <v>9.4032671486641863</v>
      </c>
      <c r="D122" s="6">
        <v>-7.0045149696472064</v>
      </c>
      <c r="E122" s="6">
        <v>-0.50587197056277433</v>
      </c>
      <c r="F122" s="6">
        <v>-0.19612690254195381</v>
      </c>
      <c r="G122" s="106">
        <f t="shared" si="83"/>
        <v>4.8833489885722709E-3</v>
      </c>
      <c r="N122" s="11">
        <f t="shared" ca="1" si="84"/>
        <v>4.8833489885722709E-3</v>
      </c>
      <c r="O122" s="11">
        <v>1</v>
      </c>
      <c r="P122" s="11">
        <f t="shared" ca="1" si="70"/>
        <v>0.81271628219018099</v>
      </c>
      <c r="Q122" s="11">
        <f t="shared" ca="1" si="71"/>
        <v>0.3976318230659619</v>
      </c>
      <c r="R122" s="11">
        <f t="shared" ca="1" si="72"/>
        <v>0.44007560110782973</v>
      </c>
      <c r="S122" s="11">
        <f t="shared" ca="1" si="73"/>
        <v>0.48809890560618863</v>
      </c>
      <c r="Z122" s="60">
        <f t="shared" ca="1" si="74"/>
        <v>0.3791529942301447</v>
      </c>
      <c r="AA122" s="60">
        <f t="shared" ca="1" si="75"/>
        <v>-1.6587656502868544</v>
      </c>
      <c r="AB122" s="60">
        <f t="shared" ca="1" si="76"/>
        <v>-0.51390478023819997</v>
      </c>
      <c r="AD122" s="60">
        <v>1</v>
      </c>
      <c r="AE122" s="60">
        <f ca="1">IF(neural_net!Z$12,0,TANH(Z122))</f>
        <v>0.36197166522432472</v>
      </c>
      <c r="AF122" s="60">
        <f ca="1">IF(neural_net!AA$12,0,TANH(AA122))</f>
        <v>-0.93005072993772397</v>
      </c>
      <c r="AG122" s="60">
        <f ca="1">IF(neural_net!AB$12,0,TANH(AB122))</f>
        <v>-0.47298202623989227</v>
      </c>
      <c r="AP122" s="62">
        <f t="shared" ca="1" si="77"/>
        <v>0.80558444329189005</v>
      </c>
      <c r="AQ122" s="62">
        <f t="shared" ca="1" si="78"/>
        <v>0.37102423492797804</v>
      </c>
      <c r="AS122" s="62">
        <v>1</v>
      </c>
      <c r="AT122" s="62">
        <f t="shared" ca="1" si="79"/>
        <v>0.80558444329189005</v>
      </c>
      <c r="AU122" s="62">
        <f t="shared" ca="1" si="80"/>
        <v>0.37102423492797804</v>
      </c>
      <c r="BB122" s="65">
        <f t="shared" ca="1" si="85"/>
        <v>-3.9561306826718809E-2</v>
      </c>
      <c r="BD122" s="65">
        <f t="shared" ca="1" si="81"/>
        <v>0.49011096303485002</v>
      </c>
      <c r="BG122" s="183">
        <f ca="1">((MAX(y)-MIN(y))*BD122)+MIN(y)</f>
        <v>0.49011096303485002</v>
      </c>
    </row>
    <row r="123" spans="2:59">
      <c r="B123" s="1">
        <v>108</v>
      </c>
      <c r="C123" s="6">
        <v>-15.01127282407432</v>
      </c>
      <c r="D123" s="6">
        <v>-9.3328881652090772</v>
      </c>
      <c r="E123" s="6">
        <v>-1.3549072506226392</v>
      </c>
      <c r="F123" s="6">
        <v>8.0771766651618773</v>
      </c>
      <c r="G123" s="106">
        <f t="shared" si="83"/>
        <v>0.99267532386982071</v>
      </c>
      <c r="N123" s="11">
        <f t="shared" ca="1" si="84"/>
        <v>0.99267532386982071</v>
      </c>
      <c r="O123" s="11">
        <v>1</v>
      </c>
      <c r="P123" s="11">
        <f t="shared" ca="1" si="70"/>
        <v>0.16635114607996576</v>
      </c>
      <c r="Q123" s="11">
        <f t="shared" ca="1" si="71"/>
        <v>0.35765473959038557</v>
      </c>
      <c r="R123" s="11">
        <f t="shared" ca="1" si="72"/>
        <v>0.42235104894478481</v>
      </c>
      <c r="S123" s="11">
        <f t="shared" ca="1" si="73"/>
        <v>0.68379389501866872</v>
      </c>
      <c r="Z123" s="60">
        <f t="shared" ca="1" si="74"/>
        <v>0.35041269081754706</v>
      </c>
      <c r="AA123" s="60">
        <f t="shared" ca="1" si="75"/>
        <v>-1.2215826398058165</v>
      </c>
      <c r="AB123" s="60">
        <f t="shared" ca="1" si="76"/>
        <v>-1.2389567811858964</v>
      </c>
      <c r="AD123" s="60">
        <v>1</v>
      </c>
      <c r="AE123" s="60">
        <f ca="1">IF(neural_net!Z$12,0,TANH(Z123))</f>
        <v>0.33674148898321132</v>
      </c>
      <c r="AF123" s="60">
        <f ca="1">IF(neural_net!AA$12,0,TANH(AA123))</f>
        <v>-0.84012040416736078</v>
      </c>
      <c r="AG123" s="60">
        <f ca="1">IF(neural_net!AB$12,0,TANH(AB123))</f>
        <v>-0.84515780213176572</v>
      </c>
      <c r="AP123" s="62">
        <f t="shared" ca="1" si="77"/>
        <v>0.36767769401419703</v>
      </c>
      <c r="AQ123" s="62">
        <f t="shared" ca="1" si="78"/>
        <v>0.68694546661403866</v>
      </c>
      <c r="AS123" s="62">
        <v>1</v>
      </c>
      <c r="AT123" s="62">
        <f t="shared" ca="1" si="79"/>
        <v>0.36767769401419703</v>
      </c>
      <c r="AU123" s="62">
        <f t="shared" ca="1" si="80"/>
        <v>0.68694546661403866</v>
      </c>
      <c r="BB123" s="65">
        <f t="shared" ca="1" si="85"/>
        <v>0.21881375990810373</v>
      </c>
      <c r="BD123" s="65">
        <f t="shared" ca="1" si="81"/>
        <v>0.55448621570508583</v>
      </c>
      <c r="BG123" s="183">
        <f t="shared" ca="1" si="82"/>
        <v>0.55448621570508583</v>
      </c>
    </row>
    <row r="124" spans="2:59">
      <c r="B124" s="1">
        <v>109</v>
      </c>
      <c r="C124" s="6">
        <v>-17.570567299195517</v>
      </c>
      <c r="D124" s="6">
        <v>-15.929963781757985</v>
      </c>
      <c r="E124" s="6">
        <v>11.558210027462302</v>
      </c>
      <c r="F124" s="6">
        <v>9.2251750976388394</v>
      </c>
      <c r="G124" s="106">
        <f t="shared" si="83"/>
        <v>0.93598704948804212</v>
      </c>
      <c r="N124" s="11">
        <f t="shared" ca="1" si="84"/>
        <v>0.93598704948804212</v>
      </c>
      <c r="O124" s="11">
        <v>1</v>
      </c>
      <c r="P124" s="11">
        <f t="shared" ca="1" si="70"/>
        <v>9.8594853165785437E-2</v>
      </c>
      <c r="Q124" s="11">
        <f t="shared" ca="1" si="71"/>
        <v>0.24438602342402255</v>
      </c>
      <c r="R124" s="11">
        <f t="shared" ca="1" si="72"/>
        <v>0.69192667926110762</v>
      </c>
      <c r="S124" s="11">
        <f t="shared" ca="1" si="73"/>
        <v>0.71094840944578452</v>
      </c>
      <c r="Z124" s="60">
        <f t="shared" ca="1" si="74"/>
        <v>0.30298674474100473</v>
      </c>
      <c r="AA124" s="60">
        <f t="shared" ca="1" si="75"/>
        <v>-1.1660435335136996</v>
      </c>
      <c r="AB124" s="60">
        <f t="shared" ca="1" si="76"/>
        <v>-1.5588618242204679</v>
      </c>
      <c r="AD124" s="60">
        <v>1</v>
      </c>
      <c r="AE124" s="60">
        <f ca="1">IF(neural_net!Z$12,0,TANH(Z124))</f>
        <v>0.29404350875072227</v>
      </c>
      <c r="AF124" s="60">
        <f ca="1">IF(neural_net!AA$12,0,TANH(AA124))</f>
        <v>-0.82299968134963564</v>
      </c>
      <c r="AG124" s="60">
        <f ca="1">IF(neural_net!AB$12,0,TANH(AB124))</f>
        <v>-0.91523587346807989</v>
      </c>
      <c r="AP124" s="62">
        <f t="shared" ca="1" si="77"/>
        <v>0.31346358601738844</v>
      </c>
      <c r="AQ124" s="62">
        <f t="shared" ca="1" si="78"/>
        <v>0.71701201825637928</v>
      </c>
      <c r="AS124" s="62">
        <v>1</v>
      </c>
      <c r="AT124" s="62">
        <f t="shared" ca="1" si="79"/>
        <v>0.31346358601738844</v>
      </c>
      <c r="AU124" s="62">
        <f t="shared" ca="1" si="80"/>
        <v>0.71701201825637928</v>
      </c>
      <c r="BB124" s="65">
        <f t="shared" ca="1" si="85"/>
        <v>0.24882624796774316</v>
      </c>
      <c r="BD124" s="65">
        <f t="shared" ca="1" si="81"/>
        <v>0.56188757945372092</v>
      </c>
      <c r="BG124" s="183">
        <f t="shared" ca="1" si="82"/>
        <v>0.56188757945372092</v>
      </c>
    </row>
    <row r="125" spans="2:59">
      <c r="B125" s="1">
        <v>110</v>
      </c>
      <c r="C125" s="6">
        <v>1.6136737958494176</v>
      </c>
      <c r="D125" s="6">
        <v>0.21835041088698581</v>
      </c>
      <c r="E125" s="6">
        <v>-3.0043267553950259</v>
      </c>
      <c r="F125" s="6">
        <v>-2.6244418112169514</v>
      </c>
      <c r="G125" s="106">
        <f t="shared" si="83"/>
        <v>0.99999999958323915</v>
      </c>
      <c r="N125" s="11">
        <f t="shared" ca="1" si="84"/>
        <v>0.99999999958323915</v>
      </c>
      <c r="O125" s="11">
        <v>1</v>
      </c>
      <c r="P125" s="11">
        <f t="shared" ca="1" si="70"/>
        <v>0.60648992800298829</v>
      </c>
      <c r="Q125" s="11">
        <f t="shared" ca="1" si="71"/>
        <v>0.52164505805803829</v>
      </c>
      <c r="R125" s="11">
        <f t="shared" ca="1" si="72"/>
        <v>0.38791758930218828</v>
      </c>
      <c r="S125" s="11">
        <f t="shared" ca="1" si="73"/>
        <v>0.43066005346514363</v>
      </c>
      <c r="Z125" s="60">
        <f t="shared" ca="1" si="74"/>
        <v>0.49957062817959141</v>
      </c>
      <c r="AA125" s="60">
        <f t="shared" ca="1" si="75"/>
        <v>-1.5262528467493461</v>
      </c>
      <c r="AB125" s="60">
        <f t="shared" ca="1" si="76"/>
        <v>-0.57642310895479421</v>
      </c>
      <c r="AD125" s="60">
        <v>1</v>
      </c>
      <c r="AE125" s="60">
        <f ca="1">IF(neural_net!Z$12,0,TANH(Z125))</f>
        <v>0.46177941177051685</v>
      </c>
      <c r="AF125" s="60">
        <f ca="1">IF(neural_net!AA$12,0,TANH(AA125))</f>
        <v>-0.90978116253076968</v>
      </c>
      <c r="AG125" s="60">
        <f ca="1">IF(neural_net!AB$12,0,TANH(AB125))</f>
        <v>-0.5200608124318955</v>
      </c>
      <c r="AP125" s="62">
        <f t="shared" ca="1" si="77"/>
        <v>0.66982487852431871</v>
      </c>
      <c r="AQ125" s="62">
        <f t="shared" ca="1" si="78"/>
        <v>0.48796865949940904</v>
      </c>
      <c r="AS125" s="62">
        <v>1</v>
      </c>
      <c r="AT125" s="62">
        <f t="shared" ca="1" si="79"/>
        <v>0.66982487852431871</v>
      </c>
      <c r="AU125" s="62">
        <f t="shared" ca="1" si="80"/>
        <v>0.48796865949940904</v>
      </c>
      <c r="BB125" s="65">
        <f t="shared" ca="1" si="85"/>
        <v>4.4689253110519842E-2</v>
      </c>
      <c r="BD125" s="65">
        <f t="shared" ca="1" si="81"/>
        <v>0.51117045426934027</v>
      </c>
      <c r="BG125" s="183">
        <f t="shared" ca="1" si="82"/>
        <v>0.51117045426934027</v>
      </c>
    </row>
    <row r="126" spans="2:59">
      <c r="B126" s="1">
        <v>111</v>
      </c>
      <c r="C126" s="6">
        <v>15.526231563808402</v>
      </c>
      <c r="D126" s="6">
        <v>1.509028186788282</v>
      </c>
      <c r="E126" s="6">
        <v>14.31112067800828</v>
      </c>
      <c r="F126" s="6">
        <v>-5.2763532958638857</v>
      </c>
      <c r="G126" s="106">
        <f t="shared" si="83"/>
        <v>0.99999999999998979</v>
      </c>
      <c r="N126" s="11">
        <f t="shared" ca="1" si="84"/>
        <v>0.99999999999998979</v>
      </c>
      <c r="O126" s="11">
        <v>1</v>
      </c>
      <c r="P126" s="11">
        <f t="shared" ca="1" si="70"/>
        <v>0.97481930489762758</v>
      </c>
      <c r="Q126" s="11">
        <f t="shared" ca="1" si="71"/>
        <v>0.54380539441890519</v>
      </c>
      <c r="R126" s="11">
        <f t="shared" ca="1" si="72"/>
        <v>0.74939673918884542</v>
      </c>
      <c r="S126" s="11">
        <f t="shared" ca="1" si="73"/>
        <v>0.36793229475740291</v>
      </c>
      <c r="Z126" s="60">
        <f t="shared" ca="1" si="74"/>
        <v>0.52401669249166927</v>
      </c>
      <c r="AA126" s="60">
        <f t="shared" ca="1" si="75"/>
        <v>-1.91224978902566</v>
      </c>
      <c r="AB126" s="60">
        <f t="shared" ca="1" si="76"/>
        <v>-0.47250253341777992</v>
      </c>
      <c r="AD126" s="60">
        <v>1</v>
      </c>
      <c r="AE126" s="60">
        <f ca="1">IF(neural_net!Z$12,0,TANH(Z126))</f>
        <v>0.48079415267550657</v>
      </c>
      <c r="AF126" s="60">
        <f ca="1">IF(neural_net!AA$12,0,TANH(AA126))</f>
        <v>-0.95727396840858026</v>
      </c>
      <c r="AG126" s="60">
        <f ca="1">IF(neural_net!AB$12,0,TANH(AB126))</f>
        <v>-0.44021909606278248</v>
      </c>
      <c r="AP126" s="62">
        <f t="shared" ca="1" si="77"/>
        <v>0.76475534672465351</v>
      </c>
      <c r="AQ126" s="62">
        <f t="shared" ca="1" si="78"/>
        <v>0.43932755007149821</v>
      </c>
      <c r="AS126" s="62">
        <v>1</v>
      </c>
      <c r="AT126" s="62">
        <f t="shared" ca="1" si="79"/>
        <v>0.76475534672465351</v>
      </c>
      <c r="AU126" s="62">
        <f t="shared" ca="1" si="80"/>
        <v>0.43932755007149821</v>
      </c>
      <c r="BB126" s="65">
        <f t="shared" ca="1" si="85"/>
        <v>-6.9886970822510969E-3</v>
      </c>
      <c r="BD126" s="65">
        <f t="shared" ca="1" si="81"/>
        <v>0.49825283284067651</v>
      </c>
      <c r="BG126" s="183">
        <f t="shared" ca="1" si="82"/>
        <v>0.49825283284067651</v>
      </c>
    </row>
    <row r="127" spans="2:59">
      <c r="B127" s="1">
        <v>112</v>
      </c>
      <c r="C127" s="6">
        <v>-2.1825542145048544</v>
      </c>
      <c r="D127" s="6">
        <v>-4.836491136987636</v>
      </c>
      <c r="E127" s="6">
        <v>-7.2937612749401826</v>
      </c>
      <c r="F127" s="6">
        <v>-1.3178576751723052</v>
      </c>
      <c r="G127" s="106">
        <f t="shared" si="83"/>
        <v>0.19568649637552538</v>
      </c>
      <c r="N127" s="11">
        <f t="shared" ca="1" si="84"/>
        <v>0.19568649637552538</v>
      </c>
      <c r="O127" s="11">
        <v>1</v>
      </c>
      <c r="P127" s="11">
        <f t="shared" ca="1" si="70"/>
        <v>0.50598631673863803</v>
      </c>
      <c r="Q127" s="11">
        <f t="shared" ca="1" si="71"/>
        <v>0.43485578265305708</v>
      </c>
      <c r="R127" s="11">
        <f t="shared" ca="1" si="72"/>
        <v>0.29837089121175897</v>
      </c>
      <c r="S127" s="11">
        <f t="shared" ca="1" si="73"/>
        <v>0.461565720902261</v>
      </c>
      <c r="Z127" s="60">
        <f t="shared" ca="1" si="74"/>
        <v>0.43983828461345686</v>
      </c>
      <c r="AA127" s="60">
        <f t="shared" ca="1" si="75"/>
        <v>-1.3667245841174605</v>
      </c>
      <c r="AB127" s="60">
        <f t="shared" ca="1" si="76"/>
        <v>-0.64489042594953294</v>
      </c>
      <c r="AD127" s="60">
        <v>1</v>
      </c>
      <c r="AE127" s="60">
        <f ca="1">IF(neural_net!Z$12,0,TANH(Z127))</f>
        <v>0.41351038761601649</v>
      </c>
      <c r="AF127" s="60">
        <f ca="1">IF(neural_net!AA$12,0,TANH(AA127))</f>
        <v>-0.87794357408223367</v>
      </c>
      <c r="AG127" s="60">
        <f ca="1">IF(neural_net!AB$12,0,TANH(AB127))</f>
        <v>-0.5682201875559455</v>
      </c>
      <c r="AP127" s="62">
        <f t="shared" ca="1" si="77"/>
        <v>0.63876243601459237</v>
      </c>
      <c r="AQ127" s="62">
        <f t="shared" ca="1" si="78"/>
        <v>0.4878604782186069</v>
      </c>
      <c r="AS127" s="62">
        <v>1</v>
      </c>
      <c r="AT127" s="62">
        <f t="shared" ca="1" si="79"/>
        <v>0.63876243601459237</v>
      </c>
      <c r="AU127" s="62">
        <f t="shared" ca="1" si="80"/>
        <v>0.4878604782186069</v>
      </c>
      <c r="BB127" s="65">
        <f t="shared" ca="1" si="85"/>
        <v>5.8100014687920781E-2</v>
      </c>
      <c r="BD127" s="65">
        <f t="shared" ca="1" si="81"/>
        <v>0.51452091915304665</v>
      </c>
      <c r="BG127" s="183">
        <f t="shared" ca="1" si="82"/>
        <v>0.51452091915304665</v>
      </c>
    </row>
    <row r="128" spans="2:59">
      <c r="B128" s="1">
        <v>113</v>
      </c>
      <c r="C128" s="6">
        <v>-4.5691990923009902</v>
      </c>
      <c r="D128" s="6">
        <v>-30.40261780488056</v>
      </c>
      <c r="E128" s="6">
        <v>12.045847118757722</v>
      </c>
      <c r="F128" s="6">
        <v>6.1741109334693061</v>
      </c>
      <c r="G128" s="106">
        <f t="shared" si="83"/>
        <v>0.37176702187627764</v>
      </c>
      <c r="N128" s="11">
        <f t="shared" ca="1" si="84"/>
        <v>0.37176702187627764</v>
      </c>
      <c r="O128" s="11">
        <v>1</v>
      </c>
      <c r="P128" s="11">
        <f t="shared" ca="1" si="70"/>
        <v>0.44280085254369606</v>
      </c>
      <c r="Q128" s="11">
        <f t="shared" ca="1" si="71"/>
        <v>-4.1027064317980394E-3</v>
      </c>
      <c r="R128" s="11">
        <f t="shared" ca="1" si="72"/>
        <v>0.70210664382122789</v>
      </c>
      <c r="S128" s="11">
        <f t="shared" ca="1" si="73"/>
        <v>0.63877917687528596</v>
      </c>
      <c r="Z128" s="60">
        <f t="shared" ca="1" si="74"/>
        <v>0.14464105631387253</v>
      </c>
      <c r="AA128" s="60">
        <f t="shared" ca="1" si="75"/>
        <v>-1.1983483870224838</v>
      </c>
      <c r="AB128" s="60">
        <f t="shared" ca="1" si="76"/>
        <v>-1.2728096036965326</v>
      </c>
      <c r="AD128" s="60">
        <v>1</v>
      </c>
      <c r="AE128" s="60">
        <f ca="1">IF(neural_net!Z$12,0,TANH(Z128))</f>
        <v>0.14364074628045104</v>
      </c>
      <c r="AF128" s="60">
        <f ca="1">IF(neural_net!AA$12,0,TANH(AA128))</f>
        <v>-0.83315013789592107</v>
      </c>
      <c r="AG128" s="60">
        <f ca="1">IF(neural_net!AB$12,0,TANH(AB128))</f>
        <v>-0.85455731453017114</v>
      </c>
      <c r="AP128" s="62">
        <f t="shared" ca="1" si="77"/>
        <v>0.49837048630284742</v>
      </c>
      <c r="AQ128" s="62">
        <f t="shared" ca="1" si="78"/>
        <v>0.54457012428664431</v>
      </c>
      <c r="AS128" s="62">
        <v>1</v>
      </c>
      <c r="AT128" s="62">
        <f t="shared" ca="1" si="79"/>
        <v>0.49837048630284742</v>
      </c>
      <c r="AU128" s="62">
        <f t="shared" ca="1" si="80"/>
        <v>0.54457012428664431</v>
      </c>
      <c r="BB128" s="65">
        <f t="shared" ca="1" si="85"/>
        <v>0.13120165906349296</v>
      </c>
      <c r="BD128" s="65">
        <f t="shared" ca="1" si="81"/>
        <v>0.53275344376526879</v>
      </c>
      <c r="BG128" s="183">
        <f t="shared" ca="1" si="82"/>
        <v>0.53275344376526879</v>
      </c>
    </row>
    <row r="129" spans="2:59">
      <c r="B129" s="1">
        <v>114</v>
      </c>
      <c r="C129" s="6">
        <v>3.6408663162729109</v>
      </c>
      <c r="D129" s="6">
        <v>-11.617674643296398</v>
      </c>
      <c r="E129" s="6">
        <v>-19.268850409820327</v>
      </c>
      <c r="F129" s="6">
        <v>9.6535125924646561</v>
      </c>
      <c r="G129" s="106">
        <f t="shared" si="83"/>
        <v>0.51445894515334523</v>
      </c>
      <c r="N129" s="11">
        <f t="shared" ca="1" si="84"/>
        <v>0.51445894515334523</v>
      </c>
      <c r="O129" s="11">
        <v>1</v>
      </c>
      <c r="P129" s="11">
        <f t="shared" ca="1" si="70"/>
        <v>0.66015903546306076</v>
      </c>
      <c r="Q129" s="11">
        <f t="shared" ca="1" si="71"/>
        <v>0.31842601975609652</v>
      </c>
      <c r="R129" s="11">
        <f t="shared" ca="1" si="72"/>
        <v>4.8377637676605238E-2</v>
      </c>
      <c r="S129" s="11">
        <f t="shared" ca="1" si="73"/>
        <v>0.72108021481578521</v>
      </c>
      <c r="Z129" s="60">
        <f t="shared" ca="1" si="74"/>
        <v>0.21621011605597129</v>
      </c>
      <c r="AA129" s="60">
        <f t="shared" ca="1" si="75"/>
        <v>-1.5352780017436736</v>
      </c>
      <c r="AB129" s="60">
        <f t="shared" ca="1" si="76"/>
        <v>-0.55510990925672699</v>
      </c>
      <c r="AD129" s="60">
        <v>1</v>
      </c>
      <c r="AE129" s="60">
        <f ca="1">IF(neural_net!Z$12,0,TANH(Z129))</f>
        <v>0.21290289836113679</v>
      </c>
      <c r="AF129" s="60">
        <f ca="1">IF(neural_net!AA$12,0,TANH(AA129))</f>
        <v>-0.91132347514402701</v>
      </c>
      <c r="AG129" s="60">
        <f ca="1">IF(neural_net!AB$12,0,TANH(AB129))</f>
        <v>-0.50434018026802307</v>
      </c>
      <c r="AP129" s="62">
        <f t="shared" ca="1" si="77"/>
        <v>0.87392720588222372</v>
      </c>
      <c r="AQ129" s="62">
        <f t="shared" ca="1" si="78"/>
        <v>0.28054121131613402</v>
      </c>
      <c r="AS129" s="62">
        <v>1</v>
      </c>
      <c r="AT129" s="62">
        <f t="shared" ca="1" si="79"/>
        <v>0.87392720588222372</v>
      </c>
      <c r="AU129" s="62">
        <f t="shared" ca="1" si="80"/>
        <v>0.28054121131613402</v>
      </c>
      <c r="BB129" s="65">
        <f t="shared" ca="1" si="85"/>
        <v>-8.8876458843473061E-2</v>
      </c>
      <c r="BD129" s="65">
        <f t="shared" ca="1" si="81"/>
        <v>0.47779549952385059</v>
      </c>
      <c r="BG129" s="183">
        <f t="shared" ca="1" si="82"/>
        <v>0.47779549952385059</v>
      </c>
    </row>
    <row r="130" spans="2:59">
      <c r="B130" s="1">
        <v>115</v>
      </c>
      <c r="C130" s="6">
        <v>-5.2818057711785062</v>
      </c>
      <c r="D130" s="6">
        <v>-1.5063890531864925</v>
      </c>
      <c r="E130" s="6">
        <v>9.5024554214803807</v>
      </c>
      <c r="F130" s="6">
        <v>2.3209300899020269</v>
      </c>
      <c r="G130" s="106">
        <f t="shared" si="83"/>
        <v>0.99979073204873581</v>
      </c>
      <c r="N130" s="11">
        <f t="shared" ca="1" si="84"/>
        <v>0.99979073204873581</v>
      </c>
      <c r="O130" s="11">
        <v>1</v>
      </c>
      <c r="P130" s="11">
        <f t="shared" ca="1" si="70"/>
        <v>0.42393487704303007</v>
      </c>
      <c r="Q130" s="11">
        <f t="shared" ca="1" si="71"/>
        <v>0.49203208464797138</v>
      </c>
      <c r="R130" s="11">
        <f t="shared" ca="1" si="72"/>
        <v>0.64901052418027594</v>
      </c>
      <c r="S130" s="11">
        <f t="shared" ca="1" si="73"/>
        <v>0.54763684440608729</v>
      </c>
      <c r="Z130" s="60">
        <f t="shared" ca="1" si="74"/>
        <v>0.47613556412219876</v>
      </c>
      <c r="AA130" s="60">
        <f t="shared" ca="1" si="75"/>
        <v>-1.5109918456406815</v>
      </c>
      <c r="AB130" s="60">
        <f t="shared" ca="1" si="76"/>
        <v>-1.040027067726653</v>
      </c>
      <c r="AD130" s="60">
        <v>1</v>
      </c>
      <c r="AE130" s="60">
        <f ca="1">IF(neural_net!Z$12,0,TANH(Z130))</f>
        <v>0.44314338162170858</v>
      </c>
      <c r="AF130" s="60">
        <f ca="1">IF(neural_net!AA$12,0,TANH(AA130))</f>
        <v>-0.90711490719505605</v>
      </c>
      <c r="AG130" s="60">
        <f ca="1">IF(neural_net!AB$12,0,TANH(AB130))</f>
        <v>-0.77789875513092499</v>
      </c>
      <c r="AP130" s="62">
        <f t="shared" ca="1" si="77"/>
        <v>0.39086465186715047</v>
      </c>
      <c r="AQ130" s="62">
        <f t="shared" ca="1" si="78"/>
        <v>0.72414211600645206</v>
      </c>
      <c r="AS130" s="62">
        <v>1</v>
      </c>
      <c r="AT130" s="62">
        <f t="shared" ca="1" si="79"/>
        <v>0.39086465186715047</v>
      </c>
      <c r="AU130" s="62">
        <f t="shared" ca="1" si="80"/>
        <v>0.72414211600645206</v>
      </c>
      <c r="BB130" s="65">
        <f t="shared" ca="1" si="85"/>
        <v>0.21690746730366442</v>
      </c>
      <c r="BD130" s="65">
        <f t="shared" ca="1" si="81"/>
        <v>0.55401525308106636</v>
      </c>
      <c r="BG130" s="183">
        <f t="shared" ca="1" si="82"/>
        <v>0.55401525308106636</v>
      </c>
    </row>
    <row r="131" spans="2:59">
      <c r="B131" s="1">
        <v>116</v>
      </c>
      <c r="C131" s="6">
        <v>-10.455977142430758</v>
      </c>
      <c r="D131" s="6">
        <v>6.4102886487791224</v>
      </c>
      <c r="E131" s="6">
        <v>-3.0655147183210034</v>
      </c>
      <c r="F131" s="6">
        <v>5.0029944093692631</v>
      </c>
      <c r="G131" s="106">
        <f t="shared" si="83"/>
        <v>1.0080660290437429E-2</v>
      </c>
      <c r="N131" s="11">
        <f t="shared" ca="1" si="84"/>
        <v>1.0080660290437429E-2</v>
      </c>
      <c r="O131" s="11">
        <v>1</v>
      </c>
      <c r="P131" s="11">
        <f t="shared" ca="1" si="70"/>
        <v>0.286950768951236</v>
      </c>
      <c r="Q131" s="11">
        <f t="shared" ca="1" si="71"/>
        <v>0.62795775409991716</v>
      </c>
      <c r="R131" s="11">
        <f t="shared" ca="1" si="72"/>
        <v>0.38664022278267751</v>
      </c>
      <c r="S131" s="11">
        <f t="shared" ca="1" si="73"/>
        <v>0.61107783195193688</v>
      </c>
      <c r="Z131" s="60">
        <f t="shared" ca="1" si="74"/>
        <v>0.52389679146825285</v>
      </c>
      <c r="AA131" s="60">
        <f t="shared" ca="1" si="75"/>
        <v>-1.483795631491643</v>
      </c>
      <c r="AB131" s="60">
        <f t="shared" ca="1" si="76"/>
        <v>-0.97277147095779715</v>
      </c>
      <c r="AD131" s="60">
        <v>1</v>
      </c>
      <c r="AE131" s="60">
        <f ca="1">IF(neural_net!Z$12,0,TANH(Z131))</f>
        <v>0.4807019630203534</v>
      </c>
      <c r="AF131" s="60">
        <f ca="1">IF(neural_net!AA$12,0,TANH(AA131))</f>
        <v>-0.90217669180883509</v>
      </c>
      <c r="AG131" s="60">
        <f ca="1">IF(neural_net!AB$12,0,TANH(AB131))</f>
        <v>-0.74991966237638341</v>
      </c>
      <c r="AP131" s="62">
        <f t="shared" ca="1" si="77"/>
        <v>0.39255562887982343</v>
      </c>
      <c r="AQ131" s="62">
        <f t="shared" ca="1" si="78"/>
        <v>0.72441473023518332</v>
      </c>
      <c r="AS131" s="62">
        <v>1</v>
      </c>
      <c r="AT131" s="62">
        <f t="shared" ca="1" si="79"/>
        <v>0.39255562887982343</v>
      </c>
      <c r="AU131" s="62">
        <f t="shared" ca="1" si="80"/>
        <v>0.72441473023518332</v>
      </c>
      <c r="BB131" s="65">
        <f t="shared" ca="1" si="85"/>
        <v>0.21623565240058082</v>
      </c>
      <c r="BD131" s="65">
        <f t="shared" ca="1" si="81"/>
        <v>0.55384925345681912</v>
      </c>
      <c r="BG131" s="183">
        <f t="shared" ca="1" si="82"/>
        <v>0.55384925345681912</v>
      </c>
    </row>
    <row r="132" spans="2:59">
      <c r="B132" s="1">
        <v>117</v>
      </c>
      <c r="C132" s="6">
        <v>12.715271752633285</v>
      </c>
      <c r="D132" s="6">
        <v>-14.260942482426703</v>
      </c>
      <c r="E132" s="6">
        <v>-1.129340924623947</v>
      </c>
      <c r="F132" s="6">
        <v>-3.2406488573888579</v>
      </c>
      <c r="G132" s="106">
        <f t="shared" si="83"/>
        <v>5.4728301280157612E-2</v>
      </c>
      <c r="N132" s="11">
        <f t="shared" ca="1" si="84"/>
        <v>5.4728301280157612E-2</v>
      </c>
      <c r="O132" s="11">
        <v>1</v>
      </c>
      <c r="P132" s="11">
        <f t="shared" ca="1" si="70"/>
        <v>0.90040027332958161</v>
      </c>
      <c r="Q132" s="11">
        <f t="shared" ca="1" si="71"/>
        <v>0.27304234189266929</v>
      </c>
      <c r="R132" s="11">
        <f t="shared" ca="1" si="72"/>
        <v>0.42705999591705707</v>
      </c>
      <c r="S132" s="11">
        <f t="shared" ca="1" si="73"/>
        <v>0.41608442108447719</v>
      </c>
      <c r="Z132" s="60">
        <f t="shared" ca="1" si="74"/>
        <v>0.32475022428362499</v>
      </c>
      <c r="AA132" s="60">
        <f t="shared" ca="1" si="75"/>
        <v>-1.5689879931235571</v>
      </c>
      <c r="AB132" s="60">
        <f t="shared" ca="1" si="76"/>
        <v>-0.40307457143042508</v>
      </c>
      <c r="AD132" s="60">
        <v>1</v>
      </c>
      <c r="AE132" s="60">
        <f ca="1">IF(neural_net!Z$12,0,TANH(Z132))</f>
        <v>0.31379576214364707</v>
      </c>
      <c r="AF132" s="60">
        <f ca="1">IF(neural_net!AA$12,0,TANH(AA132))</f>
        <v>-0.91686463831176679</v>
      </c>
      <c r="AG132" s="60">
        <f ca="1">IF(neural_net!AB$12,0,TANH(AB132))</f>
        <v>-0.38257660697937618</v>
      </c>
      <c r="AP132" s="62">
        <f t="shared" ca="1" si="77"/>
        <v>0.93864165980419578</v>
      </c>
      <c r="AQ132" s="62">
        <f t="shared" ca="1" si="78"/>
        <v>0.24157243555843944</v>
      </c>
      <c r="AS132" s="62">
        <v>1</v>
      </c>
      <c r="AT132" s="62">
        <f t="shared" ca="1" si="79"/>
        <v>0.93864165980419578</v>
      </c>
      <c r="AU132" s="62">
        <f t="shared" ca="1" si="80"/>
        <v>0.24157243555843944</v>
      </c>
      <c r="BB132" s="65">
        <f t="shared" ca="1" si="85"/>
        <v>-0.1253741261740379</v>
      </c>
      <c r="BD132" s="65">
        <f t="shared" ca="1" si="81"/>
        <v>0.46869746057989198</v>
      </c>
      <c r="BG132" s="183">
        <f t="shared" ca="1" si="82"/>
        <v>0.46869746057989198</v>
      </c>
    </row>
    <row r="133" spans="2:59">
      <c r="B133" s="1">
        <v>118</v>
      </c>
      <c r="C133" s="6">
        <v>3.7997399841906248</v>
      </c>
      <c r="D133" s="6">
        <v>-16.789721396004676</v>
      </c>
      <c r="E133" s="6">
        <v>-13.559908130024532</v>
      </c>
      <c r="F133" s="6">
        <v>-1.373492124989625</v>
      </c>
      <c r="G133" s="106">
        <f t="shared" si="83"/>
        <v>3.6287583426980242E-3</v>
      </c>
      <c r="N133" s="11">
        <f t="shared" ca="1" si="84"/>
        <v>3.6287583426980242E-3</v>
      </c>
      <c r="O133" s="11">
        <v>1</v>
      </c>
      <c r="P133" s="11">
        <f t="shared" ca="1" si="70"/>
        <v>0.66436515198635504</v>
      </c>
      <c r="Q133" s="11">
        <f t="shared" ca="1" si="71"/>
        <v>0.22962438556501591</v>
      </c>
      <c r="R133" s="11">
        <f t="shared" ca="1" si="72"/>
        <v>0.1675581330111674</v>
      </c>
      <c r="S133" s="11">
        <f t="shared" ca="1" si="73"/>
        <v>0.46024975528116735</v>
      </c>
      <c r="Z133" s="60">
        <f t="shared" ca="1" si="74"/>
        <v>0.28768719085353117</v>
      </c>
      <c r="AA133" s="60">
        <f t="shared" ca="1" si="75"/>
        <v>-1.2924426305729404</v>
      </c>
      <c r="AB133" s="60">
        <f t="shared" ca="1" si="76"/>
        <v>-0.45942121897044857</v>
      </c>
      <c r="AD133" s="60">
        <v>1</v>
      </c>
      <c r="AE133" s="60">
        <f ca="1">IF(neural_net!Z$12,0,TANH(Z133))</f>
        <v>0.28000471711229263</v>
      </c>
      <c r="AF133" s="60">
        <f ca="1">IF(neural_net!AA$12,0,TANH(AA133))</f>
        <v>-0.85976492610349176</v>
      </c>
      <c r="AG133" s="60">
        <f ca="1">IF(neural_net!AB$12,0,TANH(AB133))</f>
        <v>-0.42961237150540132</v>
      </c>
      <c r="AP133" s="62">
        <f t="shared" ca="1" si="77"/>
        <v>0.88807133756134382</v>
      </c>
      <c r="AQ133" s="62">
        <f t="shared" ca="1" si="78"/>
        <v>0.2438602148727978</v>
      </c>
      <c r="AS133" s="62">
        <v>1</v>
      </c>
      <c r="AT133" s="62">
        <f t="shared" ca="1" si="79"/>
        <v>0.88807133756134382</v>
      </c>
      <c r="AU133" s="62">
        <f t="shared" ca="1" si="80"/>
        <v>0.2438602148727978</v>
      </c>
      <c r="BB133" s="65">
        <f t="shared" ca="1" si="85"/>
        <v>-0.10300312041160556</v>
      </c>
      <c r="BD133" s="65">
        <f t="shared" ca="1" si="81"/>
        <v>0.47427196298272573</v>
      </c>
      <c r="BG133" s="183">
        <f t="shared" ca="1" si="82"/>
        <v>0.47427196298272573</v>
      </c>
    </row>
    <row r="134" spans="2:59">
      <c r="B134" s="1">
        <v>119</v>
      </c>
      <c r="C134" s="6">
        <v>2.63229516366816</v>
      </c>
      <c r="D134" s="6">
        <v>6.4173847793441805</v>
      </c>
      <c r="E134" s="6">
        <v>6.6373839489730173</v>
      </c>
      <c r="F134" s="6">
        <v>-9.3626893916271712</v>
      </c>
      <c r="G134" s="106">
        <f t="shared" si="83"/>
        <v>0.82991218062858874</v>
      </c>
      <c r="N134" s="11">
        <f t="shared" ca="1" si="84"/>
        <v>0.82991218062858874</v>
      </c>
      <c r="O134" s="11">
        <v>1</v>
      </c>
      <c r="P134" s="11">
        <f t="shared" ca="1" si="70"/>
        <v>0.63345751943785089</v>
      </c>
      <c r="Q134" s="11">
        <f t="shared" ca="1" si="71"/>
        <v>0.62807959135714619</v>
      </c>
      <c r="R134" s="11">
        <f t="shared" ca="1" si="72"/>
        <v>0.58919898282509431</v>
      </c>
      <c r="S134" s="11">
        <f t="shared" ca="1" si="73"/>
        <v>0.27127495679655583</v>
      </c>
      <c r="Z134" s="60">
        <f t="shared" ca="1" si="74"/>
        <v>0.64615261674810232</v>
      </c>
      <c r="AA134" s="60">
        <f t="shared" ca="1" si="75"/>
        <v>-1.5695080158734183</v>
      </c>
      <c r="AB134" s="60">
        <f t="shared" ca="1" si="76"/>
        <v>-0.55109827785905297</v>
      </c>
      <c r="AD134" s="60">
        <v>1</v>
      </c>
      <c r="AE134" s="60">
        <f ca="1">IF(neural_net!Z$12,0,TANH(Z134))</f>
        <v>0.56907423655403677</v>
      </c>
      <c r="AF134" s="60">
        <f ca="1">IF(neural_net!AA$12,0,TANH(AA134))</f>
        <v>-0.91694746923891068</v>
      </c>
      <c r="AG134" s="60">
        <f ca="1">IF(neural_net!AB$12,0,TANH(AB134))</f>
        <v>-0.50134289538215338</v>
      </c>
      <c r="AP134" s="62">
        <f t="shared" ca="1" si="77"/>
        <v>0.61378052249860204</v>
      </c>
      <c r="AQ134" s="62">
        <f t="shared" ca="1" si="78"/>
        <v>0.55492501294723029</v>
      </c>
      <c r="AS134" s="62">
        <v>1</v>
      </c>
      <c r="AT134" s="62">
        <f t="shared" ca="1" si="79"/>
        <v>0.61378052249860204</v>
      </c>
      <c r="AU134" s="62">
        <f t="shared" ca="1" si="80"/>
        <v>0.55492501294723029</v>
      </c>
      <c r="BB134" s="65">
        <f t="shared" ca="1" si="85"/>
        <v>8.3548290024202762E-2</v>
      </c>
      <c r="BD134" s="65">
        <f t="shared" ca="1" si="81"/>
        <v>0.5208749311158547</v>
      </c>
      <c r="BG134" s="183">
        <f t="shared" ca="1" si="82"/>
        <v>0.5208749311158547</v>
      </c>
    </row>
    <row r="135" spans="2:59">
      <c r="B135" s="1">
        <v>120</v>
      </c>
      <c r="C135" s="6">
        <v>7.4337353917675353</v>
      </c>
      <c r="D135" s="6">
        <v>-2.9078172373500144</v>
      </c>
      <c r="E135" s="6">
        <v>-2.8091064461205182</v>
      </c>
      <c r="F135" s="6">
        <v>4.8867811016419216</v>
      </c>
      <c r="G135" s="106">
        <f t="shared" si="83"/>
        <v>6.2198116064111073E-4</v>
      </c>
      <c r="N135" s="11">
        <f t="shared" ca="1" si="84"/>
        <v>6.2198116064111073E-4</v>
      </c>
      <c r="O135" s="11">
        <v>1</v>
      </c>
      <c r="P135" s="11">
        <f t="shared" ca="1" si="70"/>
        <v>0.76057372027660897</v>
      </c>
      <c r="Q135" s="11">
        <f t="shared" ca="1" si="71"/>
        <v>0.46797021535222438</v>
      </c>
      <c r="R135" s="11">
        <f t="shared" ca="1" si="72"/>
        <v>0.39199302955336113</v>
      </c>
      <c r="S135" s="11">
        <f t="shared" ca="1" si="73"/>
        <v>0.60832894671653104</v>
      </c>
      <c r="Z135" s="60">
        <f t="shared" ca="1" si="74"/>
        <v>0.37058097220571606</v>
      </c>
      <c r="AA135" s="60">
        <f t="shared" ca="1" si="75"/>
        <v>-1.7543117034347369</v>
      </c>
      <c r="AB135" s="60">
        <f t="shared" ca="1" si="76"/>
        <v>-0.59962817327516316</v>
      </c>
      <c r="AD135" s="60">
        <v>1</v>
      </c>
      <c r="AE135" s="60">
        <f ca="1">IF(neural_net!Z$12,0,TANH(Z135))</f>
        <v>0.35449977843300901</v>
      </c>
      <c r="AF135" s="60">
        <f ca="1">IF(neural_net!AA$12,0,TANH(AA135))</f>
        <v>-0.94186427572056008</v>
      </c>
      <c r="AG135" s="60">
        <f ca="1">IF(neural_net!AB$12,0,TANH(AB135))</f>
        <v>-0.53678493053621024</v>
      </c>
      <c r="AP135" s="62">
        <f t="shared" ca="1" si="77"/>
        <v>0.74361506593582938</v>
      </c>
      <c r="AQ135" s="62">
        <f t="shared" ca="1" si="78"/>
        <v>0.43106027400953029</v>
      </c>
      <c r="AS135" s="62">
        <v>1</v>
      </c>
      <c r="AT135" s="62">
        <f t="shared" ca="1" si="79"/>
        <v>0.74361506593582938</v>
      </c>
      <c r="AU135" s="62">
        <f t="shared" ca="1" si="80"/>
        <v>0.43106027400953029</v>
      </c>
      <c r="BB135" s="65">
        <f t="shared" ca="1" si="85"/>
        <v>3.4921161464505912E-4</v>
      </c>
      <c r="BD135" s="65">
        <f t="shared" ca="1" si="81"/>
        <v>0.50008730290277403</v>
      </c>
      <c r="BG135" s="183">
        <f t="shared" ca="1" si="82"/>
        <v>0.50008730290277403</v>
      </c>
    </row>
    <row r="136" spans="2:59">
      <c r="B136" s="1">
        <v>121</v>
      </c>
      <c r="C136" s="6">
        <v>-13.060046935301735</v>
      </c>
      <c r="D136" s="6">
        <v>2.922696839646528</v>
      </c>
      <c r="E136" s="6">
        <v>15.85437809219475</v>
      </c>
      <c r="F136" s="6">
        <v>7.6029996453848963</v>
      </c>
      <c r="G136" s="106">
        <f t="shared" si="83"/>
        <v>5.3120614152840957E-7</v>
      </c>
      <c r="N136" s="11">
        <f t="shared" ca="1" si="84"/>
        <v>5.3120614152840957E-7</v>
      </c>
      <c r="O136" s="11">
        <v>1</v>
      </c>
      <c r="P136" s="11">
        <f t="shared" ca="1" si="70"/>
        <v>0.21800906749018031</v>
      </c>
      <c r="Q136" s="11">
        <f t="shared" ca="1" si="71"/>
        <v>0.5680774268619182</v>
      </c>
      <c r="R136" s="11">
        <f t="shared" ca="1" si="72"/>
        <v>0.78161394756777791</v>
      </c>
      <c r="S136" s="11">
        <f t="shared" ca="1" si="73"/>
        <v>0.67257781112841553</v>
      </c>
      <c r="Z136" s="60">
        <f t="shared" ca="1" si="74"/>
        <v>0.50379733385863279</v>
      </c>
      <c r="AA136" s="60">
        <f t="shared" ca="1" si="75"/>
        <v>-1.5343415380525642</v>
      </c>
      <c r="AB136" s="60">
        <f t="shared" ca="1" si="76"/>
        <v>-1.4028952185694203</v>
      </c>
      <c r="AD136" s="60">
        <v>1</v>
      </c>
      <c r="AE136" s="60">
        <f ca="1">IF(neural_net!Z$12,0,TANH(Z136))</f>
        <v>0.46509831615850533</v>
      </c>
      <c r="AF136" s="60">
        <f ca="1">IF(neural_net!AA$12,0,TANH(AA136))</f>
        <v>-0.91116461883417554</v>
      </c>
      <c r="AG136" s="60">
        <f ca="1">IF(neural_net!AB$12,0,TANH(AB136))</f>
        <v>-0.88597585505035847</v>
      </c>
      <c r="AP136" s="62">
        <f t="shared" ca="1" si="77"/>
        <v>0.25376397256811623</v>
      </c>
      <c r="AQ136" s="62">
        <f t="shared" ca="1" si="78"/>
        <v>0.84774746420997293</v>
      </c>
      <c r="AS136" s="62">
        <v>1</v>
      </c>
      <c r="AT136" s="62">
        <f t="shared" ca="1" si="79"/>
        <v>0.25376397256811623</v>
      </c>
      <c r="AU136" s="62">
        <f t="shared" ca="1" si="80"/>
        <v>0.84774746420997293</v>
      </c>
      <c r="BB136" s="65">
        <f t="shared" ca="1" si="85"/>
        <v>0.3031924820916696</v>
      </c>
      <c r="BD136" s="65">
        <f t="shared" ca="1" si="81"/>
        <v>0.575222759501539</v>
      </c>
      <c r="BG136" s="183">
        <f t="shared" ca="1" si="82"/>
        <v>0.575222759501539</v>
      </c>
    </row>
    <row r="137" spans="2:59">
      <c r="B137" s="1">
        <v>122</v>
      </c>
      <c r="C137" s="6">
        <v>2.0021366168359975</v>
      </c>
      <c r="D137" s="6">
        <v>-4.6316981963788404</v>
      </c>
      <c r="E137" s="6">
        <v>-6.6160659841684568</v>
      </c>
      <c r="F137" s="6">
        <v>-4.694927113946342</v>
      </c>
      <c r="G137" s="106">
        <f t="shared" si="83"/>
        <v>0.11905575692206836</v>
      </c>
      <c r="N137" s="11">
        <f t="shared" ca="1" si="84"/>
        <v>0.11905575692206836</v>
      </c>
      <c r="O137" s="11">
        <v>1</v>
      </c>
      <c r="P137" s="11">
        <f t="shared" ca="1" si="70"/>
        <v>0.61677432510574404</v>
      </c>
      <c r="Q137" s="11">
        <f t="shared" ca="1" si="71"/>
        <v>0.43837198207397976</v>
      </c>
      <c r="R137" s="11">
        <f t="shared" ca="1" si="72"/>
        <v>0.31251853126163587</v>
      </c>
      <c r="S137" s="11">
        <f t="shared" ca="1" si="73"/>
        <v>0.38168522786125508</v>
      </c>
      <c r="Z137" s="60">
        <f t="shared" ca="1" si="74"/>
        <v>0.46406527862335889</v>
      </c>
      <c r="AA137" s="60">
        <f t="shared" ca="1" si="75"/>
        <v>-1.4054649686284759</v>
      </c>
      <c r="AB137" s="60">
        <f t="shared" ca="1" si="76"/>
        <v>-0.49312905276632768</v>
      </c>
      <c r="AD137" s="60">
        <v>1</v>
      </c>
      <c r="AE137" s="60">
        <f ca="1">IF(neural_net!Z$12,0,TANH(Z137))</f>
        <v>0.43339172444772589</v>
      </c>
      <c r="AF137" s="60">
        <f ca="1">IF(neural_net!AA$12,0,TANH(AA137))</f>
        <v>-0.88652721502189957</v>
      </c>
      <c r="AG137" s="60">
        <f ca="1">IF(neural_net!AB$12,0,TANH(AB137))</f>
        <v>-0.45669638976249571</v>
      </c>
      <c r="AP137" s="62">
        <f t="shared" ca="1" si="77"/>
        <v>0.75353677153178922</v>
      </c>
      <c r="AQ137" s="62">
        <f t="shared" ca="1" si="78"/>
        <v>0.39712159959087978</v>
      </c>
      <c r="AS137" s="62">
        <v>1</v>
      </c>
      <c r="AT137" s="62">
        <f t="shared" ca="1" si="79"/>
        <v>0.75353677153178922</v>
      </c>
      <c r="AU137" s="62">
        <f t="shared" ca="1" si="80"/>
        <v>0.39712159959087978</v>
      </c>
      <c r="BB137" s="65">
        <f t="shared" ca="1" si="85"/>
        <v>-1.1352475037483725E-2</v>
      </c>
      <c r="BD137" s="65">
        <f t="shared" ca="1" si="81"/>
        <v>0.49716191172132168</v>
      </c>
      <c r="BG137" s="183">
        <f t="shared" ca="1" si="82"/>
        <v>0.49716191172132168</v>
      </c>
    </row>
    <row r="138" spans="2:59">
      <c r="B138" s="1">
        <v>123</v>
      </c>
      <c r="C138" s="6">
        <v>-3.6578018623303263</v>
      </c>
      <c r="D138" s="6">
        <v>2.0369900681075492</v>
      </c>
      <c r="E138" s="6">
        <v>-17.28128024802448</v>
      </c>
      <c r="F138" s="6">
        <v>2.3684176313449039</v>
      </c>
      <c r="G138" s="106">
        <f t="shared" si="83"/>
        <v>0.14946628182467331</v>
      </c>
      <c r="N138" s="11">
        <f t="shared" ca="1" si="84"/>
        <v>0.14946628182467331</v>
      </c>
      <c r="O138" s="11">
        <v>1</v>
      </c>
      <c r="P138" s="11">
        <f t="shared" ca="1" si="70"/>
        <v>0.46692972801127608</v>
      </c>
      <c r="Q138" s="11">
        <f t="shared" ca="1" si="71"/>
        <v>0.55287025405637813</v>
      </c>
      <c r="R138" s="11">
        <f t="shared" ca="1" si="72"/>
        <v>8.9870366939844168E-2</v>
      </c>
      <c r="S138" s="11">
        <f t="shared" ca="1" si="73"/>
        <v>0.54876010476319126</v>
      </c>
      <c r="Z138" s="60">
        <f t="shared" ca="1" si="74"/>
        <v>0.45868566816943224</v>
      </c>
      <c r="AA138" s="60">
        <f t="shared" ca="1" si="75"/>
        <v>-1.4421939725677866</v>
      </c>
      <c r="AB138" s="60">
        <f t="shared" ca="1" si="76"/>
        <v>-0.55628643147393386</v>
      </c>
      <c r="AD138" s="60">
        <v>1</v>
      </c>
      <c r="AE138" s="60">
        <f ca="1">IF(neural_net!Z$12,0,TANH(Z138))</f>
        <v>0.42901238946727233</v>
      </c>
      <c r="AF138" s="60">
        <f ca="1">IF(neural_net!AA$12,0,TANH(AA138))</f>
        <v>-0.89413851848666415</v>
      </c>
      <c r="AG138" s="60">
        <f ca="1">IF(neural_net!AB$12,0,TANH(AB138))</f>
        <v>-0.50521692281507369</v>
      </c>
      <c r="AP138" s="62">
        <f t="shared" ca="1" si="77"/>
        <v>0.70489637951547635</v>
      </c>
      <c r="AQ138" s="62">
        <f t="shared" ca="1" si="78"/>
        <v>0.44336664587053581</v>
      </c>
      <c r="AS138" s="62">
        <v>1</v>
      </c>
      <c r="AT138" s="62">
        <f t="shared" ca="1" si="79"/>
        <v>0.70489637951547635</v>
      </c>
      <c r="AU138" s="62">
        <f t="shared" ca="1" si="80"/>
        <v>0.44336664587053581</v>
      </c>
      <c r="BB138" s="65">
        <f t="shared" ca="1" si="85"/>
        <v>1.9782014814066287E-2</v>
      </c>
      <c r="BD138" s="65">
        <f t="shared" ca="1" si="81"/>
        <v>0.50494534243360933</v>
      </c>
      <c r="BG138" s="183">
        <f t="shared" ca="1" si="82"/>
        <v>0.50494534243360933</v>
      </c>
    </row>
    <row r="139" spans="2:59">
      <c r="B139" s="1">
        <v>124</v>
      </c>
      <c r="C139" s="6">
        <v>-17.623143232025139</v>
      </c>
      <c r="D139" s="6">
        <v>-6.4656763767213459</v>
      </c>
      <c r="E139" s="6">
        <v>-3.0189129271930639</v>
      </c>
      <c r="F139" s="6">
        <v>-2.3511640131195062</v>
      </c>
      <c r="G139" s="106">
        <f t="shared" si="83"/>
        <v>0.99946618822187827</v>
      </c>
      <c r="N139" s="11">
        <f t="shared" ca="1" si="84"/>
        <v>0.99946618822187827</v>
      </c>
      <c r="O139" s="11">
        <v>1</v>
      </c>
      <c r="P139" s="11">
        <f t="shared" ca="1" si="70"/>
        <v>9.7202926468928294E-2</v>
      </c>
      <c r="Q139" s="11">
        <f t="shared" ca="1" si="71"/>
        <v>0.40688343077658112</v>
      </c>
      <c r="R139" s="11">
        <f t="shared" ca="1" si="72"/>
        <v>0.38761308680510098</v>
      </c>
      <c r="S139" s="11">
        <f t="shared" ca="1" si="73"/>
        <v>0.43712410925225498</v>
      </c>
      <c r="Z139" s="60">
        <f t="shared" ca="1" si="74"/>
        <v>0.4936291682392554</v>
      </c>
      <c r="AA139" s="60">
        <f t="shared" ca="1" si="75"/>
        <v>-0.99943763746054226</v>
      </c>
      <c r="AB139" s="60">
        <f t="shared" ca="1" si="76"/>
        <v>-1.0632573818442976</v>
      </c>
      <c r="AD139" s="60">
        <v>1</v>
      </c>
      <c r="AE139" s="60">
        <f ca="1">IF(neural_net!Z$12,0,TANH(Z139))</f>
        <v>0.45709210494013347</v>
      </c>
      <c r="AF139" s="60">
        <f ca="1">IF(neural_net!AA$12,0,TANH(AA139))</f>
        <v>-0.76135787694700086</v>
      </c>
      <c r="AG139" s="60">
        <f ca="1">IF(neural_net!AB$12,0,TANH(AB139))</f>
        <v>-0.7869073774547749</v>
      </c>
      <c r="AP139" s="62">
        <f t="shared" ca="1" si="77"/>
        <v>0.31269767367586865</v>
      </c>
      <c r="AQ139" s="62">
        <f t="shared" ca="1" si="78"/>
        <v>0.69922885671699619</v>
      </c>
      <c r="AS139" s="62">
        <v>1</v>
      </c>
      <c r="AT139" s="62">
        <f t="shared" ca="1" si="79"/>
        <v>0.31269767367586865</v>
      </c>
      <c r="AU139" s="62">
        <f t="shared" ca="1" si="80"/>
        <v>0.69922885671699619</v>
      </c>
      <c r="BB139" s="65">
        <f t="shared" ca="1" si="85"/>
        <v>0.24527450742450901</v>
      </c>
      <c r="BD139" s="65">
        <f t="shared" ca="1" si="81"/>
        <v>0.56101305643329025</v>
      </c>
      <c r="BG139" s="183">
        <f t="shared" ca="1" si="82"/>
        <v>0.56101305643329025</v>
      </c>
    </row>
    <row r="140" spans="2:59">
      <c r="B140" s="1">
        <v>125</v>
      </c>
      <c r="C140" s="6">
        <v>-10.403524103045214</v>
      </c>
      <c r="D140" s="6">
        <v>-8.8378211270727363</v>
      </c>
      <c r="E140" s="6">
        <v>-3.4933487171831707</v>
      </c>
      <c r="F140" s="6">
        <v>-2.8848044486865243</v>
      </c>
      <c r="G140" s="106">
        <f t="shared" si="83"/>
        <v>0.94911704197962621</v>
      </c>
      <c r="N140" s="11">
        <f t="shared" ca="1" si="84"/>
        <v>0.94911704197962621</v>
      </c>
      <c r="O140" s="11">
        <v>1</v>
      </c>
      <c r="P140" s="11">
        <f t="shared" ca="1" si="70"/>
        <v>0.28833944209353929</v>
      </c>
      <c r="Q140" s="11">
        <f t="shared" ca="1" si="71"/>
        <v>0.36615481008909567</v>
      </c>
      <c r="R140" s="11">
        <f t="shared" ca="1" si="72"/>
        <v>0.37770871403616002</v>
      </c>
      <c r="S140" s="11">
        <f t="shared" ca="1" si="73"/>
        <v>0.42450149018192124</v>
      </c>
      <c r="Z140" s="60">
        <f t="shared" ca="1" si="74"/>
        <v>0.44988996098266815</v>
      </c>
      <c r="AA140" s="60">
        <f t="shared" ca="1" si="75"/>
        <v>-1.1161014978541968</v>
      </c>
      <c r="AB140" s="60">
        <f t="shared" ca="1" si="76"/>
        <v>-0.88768205716128334</v>
      </c>
      <c r="AD140" s="60">
        <v>1</v>
      </c>
      <c r="AE140" s="60">
        <f ca="1">IF(neural_net!Z$12,0,TANH(Z140))</f>
        <v>0.42180854884337721</v>
      </c>
      <c r="AF140" s="60">
        <f ca="1">IF(neural_net!AA$12,0,TANH(AA140))</f>
        <v>-0.80620861528791321</v>
      </c>
      <c r="AG140" s="60">
        <f ca="1">IF(neural_net!AB$12,0,TANH(AB140))</f>
        <v>-0.71024696697957501</v>
      </c>
      <c r="AP140" s="62">
        <f t="shared" ca="1" si="77"/>
        <v>0.44349931049575775</v>
      </c>
      <c r="AQ140" s="62">
        <f t="shared" ca="1" si="78"/>
        <v>0.61086962519793531</v>
      </c>
      <c r="AS140" s="62">
        <v>1</v>
      </c>
      <c r="AT140" s="62">
        <f t="shared" ca="1" si="79"/>
        <v>0.44349931049575775</v>
      </c>
      <c r="AU140" s="62">
        <f t="shared" ca="1" si="80"/>
        <v>0.61086962519793531</v>
      </c>
      <c r="BB140" s="65">
        <f t="shared" ca="1" si="85"/>
        <v>0.16940987490892848</v>
      </c>
      <c r="BD140" s="65">
        <f t="shared" ca="1" si="81"/>
        <v>0.54225146664127521</v>
      </c>
      <c r="BG140" s="183">
        <f t="shared" ca="1" si="82"/>
        <v>0.54225146664127521</v>
      </c>
    </row>
    <row r="141" spans="2:59">
      <c r="B141" s="1">
        <v>126</v>
      </c>
      <c r="C141" s="6">
        <v>-10.326394765319069</v>
      </c>
      <c r="D141" s="6">
        <v>-16.164751974410684</v>
      </c>
      <c r="E141" s="6">
        <v>0.87350272831691056</v>
      </c>
      <c r="F141" s="6">
        <v>12.462690195086614</v>
      </c>
      <c r="G141" s="106">
        <f t="shared" si="83"/>
        <v>0.86777419933780453</v>
      </c>
      <c r="N141" s="11">
        <f t="shared" ca="1" si="84"/>
        <v>0.86777419933780453</v>
      </c>
      <c r="O141" s="11">
        <v>1</v>
      </c>
      <c r="P141" s="11">
        <f t="shared" ca="1" si="70"/>
        <v>0.29038141031956843</v>
      </c>
      <c r="Q141" s="11">
        <f t="shared" ca="1" si="71"/>
        <v>0.24035481949389328</v>
      </c>
      <c r="R141" s="11">
        <f t="shared" ca="1" si="72"/>
        <v>0.46887157623026937</v>
      </c>
      <c r="S141" s="11">
        <f t="shared" ca="1" si="73"/>
        <v>0.78752791333235916</v>
      </c>
      <c r="Z141" s="60">
        <f t="shared" ca="1" si="74"/>
        <v>0.22364072877897978</v>
      </c>
      <c r="AA141" s="60">
        <f t="shared" ca="1" si="75"/>
        <v>-1.3243056943357567</v>
      </c>
      <c r="AB141" s="60">
        <f t="shared" ca="1" si="76"/>
        <v>-1.2798744791417691</v>
      </c>
      <c r="AD141" s="60">
        <v>1</v>
      </c>
      <c r="AE141" s="60">
        <f ca="1">IF(neural_net!Z$12,0,TANH(Z141))</f>
        <v>0.21998536411137981</v>
      </c>
      <c r="AF141" s="60">
        <f ca="1">IF(neural_net!AA$12,0,TANH(AA141))</f>
        <v>-0.86785070520275842</v>
      </c>
      <c r="AG141" s="60">
        <f ca="1">IF(neural_net!AB$12,0,TANH(AB141))</f>
        <v>-0.85645146890411794</v>
      </c>
      <c r="AP141" s="62">
        <f t="shared" ca="1" si="77"/>
        <v>0.45296580572008061</v>
      </c>
      <c r="AQ141" s="62">
        <f t="shared" ca="1" si="78"/>
        <v>0.61608095354886405</v>
      </c>
      <c r="AS141" s="62">
        <v>1</v>
      </c>
      <c r="AT141" s="62">
        <f t="shared" ca="1" si="79"/>
        <v>0.45296580572008061</v>
      </c>
      <c r="AU141" s="62">
        <f t="shared" ca="1" si="80"/>
        <v>0.61608095354886405</v>
      </c>
      <c r="BB141" s="65">
        <f t="shared" ca="1" si="85"/>
        <v>0.16645355890266925</v>
      </c>
      <c r="BD141" s="65">
        <f t="shared" ca="1" si="81"/>
        <v>0.54151757407988754</v>
      </c>
      <c r="BG141" s="183">
        <f t="shared" ca="1" si="82"/>
        <v>0.54151757407988754</v>
      </c>
    </row>
    <row r="142" spans="2:59">
      <c r="B142" s="1">
        <v>127</v>
      </c>
      <c r="C142" s="6">
        <v>3.2871273824404952</v>
      </c>
      <c r="D142" s="6">
        <v>-5.3274881739288773</v>
      </c>
      <c r="E142" s="6">
        <v>6.151027801304866</v>
      </c>
      <c r="F142" s="6">
        <v>-8.2298690061420938</v>
      </c>
      <c r="G142" s="106">
        <f t="shared" si="83"/>
        <v>0.18583007907558413</v>
      </c>
      <c r="N142" s="11">
        <f t="shared" ca="1" si="84"/>
        <v>0.18583007907558413</v>
      </c>
      <c r="O142" s="11">
        <v>1</v>
      </c>
      <c r="P142" s="11">
        <f t="shared" ca="1" si="70"/>
        <v>0.65079393932078755</v>
      </c>
      <c r="Q142" s="11">
        <f t="shared" ca="1" si="71"/>
        <v>0.42642559217952175</v>
      </c>
      <c r="R142" s="11">
        <f t="shared" ca="1" si="72"/>
        <v>0.57904575938241953</v>
      </c>
      <c r="S142" s="11">
        <f t="shared" ca="1" si="73"/>
        <v>0.29807045287978134</v>
      </c>
      <c r="Z142" s="60">
        <f t="shared" ca="1" si="74"/>
        <v>0.51198768501936098</v>
      </c>
      <c r="AA142" s="60">
        <f t="shared" ca="1" si="75"/>
        <v>-1.4336913914097766</v>
      </c>
      <c r="AB142" s="60">
        <f t="shared" ca="1" si="76"/>
        <v>-0.60458893418292292</v>
      </c>
      <c r="AD142" s="60">
        <v>1</v>
      </c>
      <c r="AE142" s="60">
        <f ca="1">IF(neural_net!Z$12,0,TANH(Z142))</f>
        <v>0.47149245937891754</v>
      </c>
      <c r="AF142" s="60">
        <f ca="1">IF(neural_net!AA$12,0,TANH(AA142))</f>
        <v>-0.89242059318585731</v>
      </c>
      <c r="AG142" s="60">
        <f ca="1">IF(neural_net!AB$12,0,TANH(AB142))</f>
        <v>-0.54030690000325243</v>
      </c>
      <c r="AP142" s="62">
        <f t="shared" ca="1" si="77"/>
        <v>0.63280738974981687</v>
      </c>
      <c r="AQ142" s="62">
        <f t="shared" ca="1" si="78"/>
        <v>0.50992625617868981</v>
      </c>
      <c r="AS142" s="62">
        <v>1</v>
      </c>
      <c r="AT142" s="62">
        <f t="shared" ca="1" si="79"/>
        <v>0.63280738974981687</v>
      </c>
      <c r="AU142" s="62">
        <f t="shared" ca="1" si="80"/>
        <v>0.50992625617868981</v>
      </c>
      <c r="BB142" s="65">
        <f t="shared" ca="1" si="85"/>
        <v>6.5493662411919312E-2</v>
      </c>
      <c r="BD142" s="65">
        <f t="shared" ca="1" si="81"/>
        <v>0.51636756540791584</v>
      </c>
      <c r="BG142" s="183">
        <f t="shared" ca="1" si="82"/>
        <v>0.51636756540791584</v>
      </c>
    </row>
    <row r="143" spans="2:59">
      <c r="B143" s="1">
        <v>128</v>
      </c>
      <c r="C143" s="6">
        <v>9.4584646369651892</v>
      </c>
      <c r="D143" s="6">
        <v>0.87051640326535829</v>
      </c>
      <c r="E143" s="6">
        <v>0.45908416996482371</v>
      </c>
      <c r="F143" s="6">
        <v>-8.4817991215469739</v>
      </c>
      <c r="G143" s="106">
        <f t="shared" si="83"/>
        <v>0.99999999999999312</v>
      </c>
      <c r="N143" s="11">
        <f t="shared" ca="1" si="84"/>
        <v>0.99999999999999312</v>
      </c>
      <c r="O143" s="11">
        <v>1</v>
      </c>
      <c r="P143" s="11">
        <f t="shared" ca="1" si="70"/>
        <v>0.81417761351481199</v>
      </c>
      <c r="Q143" s="11">
        <f t="shared" ca="1" si="71"/>
        <v>0.53284244444220463</v>
      </c>
      <c r="R143" s="11">
        <f t="shared" ca="1" si="72"/>
        <v>0.46022012966808701</v>
      </c>
      <c r="S143" s="11">
        <f t="shared" ca="1" si="73"/>
        <v>0.29211135070694449</v>
      </c>
      <c r="Z143" s="60">
        <f t="shared" ca="1" si="74"/>
        <v>0.54668784589246533</v>
      </c>
      <c r="AA143" s="60">
        <f t="shared" ca="1" si="75"/>
        <v>-1.6244521214366225</v>
      </c>
      <c r="AB143" s="60">
        <f t="shared" ca="1" si="76"/>
        <v>-0.33479245122847223</v>
      </c>
      <c r="AD143" s="60">
        <v>1</v>
      </c>
      <c r="AE143" s="60">
        <f ca="1">IF(neural_net!Z$12,0,TANH(Z143))</f>
        <v>0.49803370649048961</v>
      </c>
      <c r="AF143" s="60">
        <f ca="1">IF(neural_net!AA$12,0,TANH(AA143))</f>
        <v>-0.9252674363989557</v>
      </c>
      <c r="AG143" s="60">
        <f ca="1">IF(neural_net!AB$12,0,TANH(AB143))</f>
        <v>-0.32282041137686296</v>
      </c>
      <c r="AP143" s="62">
        <f t="shared" ca="1" si="77"/>
        <v>0.87211972782652358</v>
      </c>
      <c r="AQ143" s="62">
        <f t="shared" ca="1" si="78"/>
        <v>0.32842669078939429</v>
      </c>
      <c r="AS143" s="62">
        <v>1</v>
      </c>
      <c r="AT143" s="62">
        <f t="shared" ca="1" si="79"/>
        <v>0.87211972782652358</v>
      </c>
      <c r="AU143" s="62">
        <f t="shared" ca="1" si="80"/>
        <v>0.32842669078939429</v>
      </c>
      <c r="BB143" s="65">
        <f t="shared" ca="1" si="85"/>
        <v>-7.7638826174698056E-2</v>
      </c>
      <c r="BD143" s="65">
        <f t="shared" ca="1" si="81"/>
        <v>0.48060003738153501</v>
      </c>
      <c r="BG143" s="183">
        <f t="shared" ca="1" si="82"/>
        <v>0.48060003738153501</v>
      </c>
    </row>
    <row r="144" spans="2:59">
      <c r="B144" s="1">
        <v>129</v>
      </c>
      <c r="C144" s="6">
        <v>0.17539006185138784</v>
      </c>
      <c r="D144" s="6">
        <v>-1.2079935217791224</v>
      </c>
      <c r="E144" s="6">
        <v>16.501301661589473</v>
      </c>
      <c r="F144" s="6">
        <v>10.507292472829725</v>
      </c>
      <c r="G144" s="106">
        <f t="shared" si="83"/>
        <v>0.22779488839150674</v>
      </c>
      <c r="N144" s="11">
        <f t="shared" ca="1" si="84"/>
        <v>0.22779488839150674</v>
      </c>
      <c r="O144" s="11">
        <v>1</v>
      </c>
      <c r="P144" s="11">
        <f t="shared" ca="1" si="70"/>
        <v>0.56841194404224982</v>
      </c>
      <c r="Q144" s="11">
        <f t="shared" ca="1" si="71"/>
        <v>0.49715539696343236</v>
      </c>
      <c r="R144" s="11">
        <f t="shared" ca="1" si="72"/>
        <v>0.79511919384026697</v>
      </c>
      <c r="S144" s="11">
        <f t="shared" ca="1" si="73"/>
        <v>0.74127534524721961</v>
      </c>
      <c r="Z144" s="60">
        <f t="shared" ca="1" si="74"/>
        <v>0.38822149189027072</v>
      </c>
      <c r="AA144" s="60">
        <f t="shared" ca="1" si="75"/>
        <v>-1.8326610258607137</v>
      </c>
      <c r="AB144" s="60">
        <f t="shared" ca="1" si="76"/>
        <v>-1.1775576538526238</v>
      </c>
      <c r="AD144" s="60">
        <v>1</v>
      </c>
      <c r="AE144" s="60">
        <f ca="1">IF(neural_net!Z$12,0,TANH(Z144))</f>
        <v>0.36982597930493327</v>
      </c>
      <c r="AF144" s="60">
        <f ca="1">IF(neural_net!AA$12,0,TANH(AA144))</f>
        <v>-0.95008574804856627</v>
      </c>
      <c r="AG144" s="60">
        <f ca="1">IF(neural_net!AB$12,0,TANH(AB144))</f>
        <v>-0.82667992307557159</v>
      </c>
      <c r="AP144" s="62">
        <f t="shared" ca="1" si="77"/>
        <v>0.40733238044233133</v>
      </c>
      <c r="AQ144" s="62">
        <f t="shared" ca="1" si="78"/>
        <v>0.72809301362340395</v>
      </c>
      <c r="AS144" s="62">
        <v>1</v>
      </c>
      <c r="AT144" s="62">
        <f t="shared" ca="1" si="79"/>
        <v>0.40733238044233133</v>
      </c>
      <c r="AU144" s="62">
        <f t="shared" ca="1" si="80"/>
        <v>0.72809301362340395</v>
      </c>
      <c r="BB144" s="65">
        <f t="shared" ca="1" si="85"/>
        <v>0.21064792765968629</v>
      </c>
      <c r="BD144" s="65">
        <f t="shared" ca="1" si="81"/>
        <v>0.55246811324791456</v>
      </c>
      <c r="BG144" s="183">
        <f t="shared" ca="1" si="82"/>
        <v>0.55246811324791456</v>
      </c>
    </row>
    <row r="145" spans="2:59">
      <c r="B145" s="1">
        <v>130</v>
      </c>
      <c r="C145" s="6">
        <v>13.73632910751688</v>
      </c>
      <c r="D145" s="6">
        <v>-12.191743134887425</v>
      </c>
      <c r="E145" s="6">
        <v>-2.8680827612549114</v>
      </c>
      <c r="F145" s="6">
        <v>-11.114297650273423</v>
      </c>
      <c r="G145" s="106">
        <f t="shared" si="83"/>
        <v>2.9054409387612137E-2</v>
      </c>
      <c r="N145" s="11">
        <f t="shared" ca="1" si="84"/>
        <v>2.9054409387612137E-2</v>
      </c>
      <c r="O145" s="11">
        <v>1</v>
      </c>
      <c r="P145" s="11">
        <f t="shared" ca="1" si="70"/>
        <v>0.9274323565432161</v>
      </c>
      <c r="Q145" s="11">
        <f t="shared" ca="1" si="71"/>
        <v>0.30856953109148849</v>
      </c>
      <c r="R145" s="11">
        <f t="shared" ca="1" si="72"/>
        <v>0.39076183363190309</v>
      </c>
      <c r="S145" s="11">
        <f t="shared" ca="1" si="73"/>
        <v>0.22984278199171831</v>
      </c>
      <c r="Z145" s="60">
        <f t="shared" ca="1" si="74"/>
        <v>0.42096734860411711</v>
      </c>
      <c r="AA145" s="60">
        <f t="shared" ca="1" si="75"/>
        <v>-1.4648435051755495</v>
      </c>
      <c r="AB145" s="60">
        <f t="shared" ca="1" si="76"/>
        <v>-0.19303620876029084</v>
      </c>
      <c r="AD145" s="60">
        <v>1</v>
      </c>
      <c r="AE145" s="60">
        <f ca="1">IF(neural_net!Z$12,0,TANH(Z145))</f>
        <v>0.39774505814561067</v>
      </c>
      <c r="AF145" s="60">
        <f ca="1">IF(neural_net!AA$12,0,TANH(AA145))</f>
        <v>-0.89858922326648438</v>
      </c>
      <c r="AG145" s="60">
        <f ca="1">IF(neural_net!AB$12,0,TANH(AB145))</f>
        <v>-0.19067371462248583</v>
      </c>
      <c r="AP145" s="62">
        <f t="shared" ca="1" si="77"/>
        <v>1.0859743003084168</v>
      </c>
      <c r="AQ145" s="62">
        <f t="shared" ca="1" si="78"/>
        <v>0.11383390200456064</v>
      </c>
      <c r="AS145" s="62">
        <v>1</v>
      </c>
      <c r="AT145" s="62">
        <f t="shared" ca="1" si="79"/>
        <v>1.0859743003084168</v>
      </c>
      <c r="AU145" s="62">
        <f t="shared" ca="1" si="80"/>
        <v>0.11383390200456064</v>
      </c>
      <c r="BB145" s="65">
        <f t="shared" ca="1" si="85"/>
        <v>-0.21698691422336278</v>
      </c>
      <c r="BD145" s="65">
        <f t="shared" ca="1" si="81"/>
        <v>0.44596511707136971</v>
      </c>
      <c r="BG145" s="183">
        <f t="shared" ca="1" si="82"/>
        <v>0.44596511707136971</v>
      </c>
    </row>
    <row r="146" spans="2:59">
      <c r="B146" s="1">
        <v>131</v>
      </c>
      <c r="C146" s="6">
        <v>-6.1322443181789144</v>
      </c>
      <c r="D146" s="6">
        <v>-11.145746091714329</v>
      </c>
      <c r="E146" s="6">
        <v>-7.6236860843342216</v>
      </c>
      <c r="F146" s="6">
        <v>-1.777760320512074</v>
      </c>
      <c r="G146" s="106">
        <f t="shared" si="83"/>
        <v>0.37904072576974479</v>
      </c>
      <c r="N146" s="11">
        <f t="shared" ca="1" si="84"/>
        <v>0.37904072576974479</v>
      </c>
      <c r="O146" s="11">
        <v>1</v>
      </c>
      <c r="P146" s="11">
        <f t="shared" ca="1" si="70"/>
        <v>0.40141985821412385</v>
      </c>
      <c r="Q146" s="11">
        <f t="shared" ca="1" si="71"/>
        <v>0.32652881321595312</v>
      </c>
      <c r="R146" s="11">
        <f t="shared" ca="1" si="72"/>
        <v>0.29148334527423919</v>
      </c>
      <c r="S146" s="11">
        <f t="shared" ca="1" si="73"/>
        <v>0.45068728007460063</v>
      </c>
      <c r="Z146" s="60">
        <f t="shared" ca="1" si="74"/>
        <v>0.39323079323368459</v>
      </c>
      <c r="AA146" s="60">
        <f t="shared" ca="1" si="75"/>
        <v>-1.1760151934393663</v>
      </c>
      <c r="AB146" s="60">
        <f t="shared" ca="1" si="76"/>
        <v>-0.75310007191116157</v>
      </c>
      <c r="AD146" s="60">
        <v>1</v>
      </c>
      <c r="AE146" s="60">
        <f ca="1">IF(neural_net!Z$12,0,TANH(Z146))</f>
        <v>0.37414212016326837</v>
      </c>
      <c r="AF146" s="60">
        <f ca="1">IF(neural_net!AA$12,0,TANH(AA146))</f>
        <v>-0.82619095653486607</v>
      </c>
      <c r="AG146" s="60">
        <f ca="1">IF(neural_net!AB$12,0,TANH(AB146))</f>
        <v>-0.63699477095063561</v>
      </c>
      <c r="AP146" s="62">
        <f t="shared" ca="1" si="77"/>
        <v>0.56986201821625393</v>
      </c>
      <c r="AQ146" s="62">
        <f t="shared" ca="1" si="78"/>
        <v>0.5086615832237531</v>
      </c>
      <c r="AS146" s="62">
        <v>1</v>
      </c>
      <c r="AT146" s="62">
        <f t="shared" ca="1" si="79"/>
        <v>0.56986201821625393</v>
      </c>
      <c r="AU146" s="62">
        <f t="shared" ca="1" si="80"/>
        <v>0.5086615832237531</v>
      </c>
      <c r="BB146" s="65">
        <f t="shared" ca="1" si="85"/>
        <v>9.2441141723201004E-2</v>
      </c>
      <c r="BD146" s="65">
        <f t="shared" ca="1" si="81"/>
        <v>0.52309384233047485</v>
      </c>
      <c r="BG146" s="183">
        <f t="shared" ca="1" si="82"/>
        <v>0.52309384233047485</v>
      </c>
    </row>
    <row r="147" spans="2:59">
      <c r="B147" s="1">
        <v>132</v>
      </c>
      <c r="C147" s="6">
        <v>-7.5710627033901723</v>
      </c>
      <c r="D147" s="6">
        <v>-15.347727718514623</v>
      </c>
      <c r="E147" s="6">
        <v>9.790512311343182</v>
      </c>
      <c r="F147" s="6">
        <v>-7.5479403221227237</v>
      </c>
      <c r="G147" s="106">
        <f t="shared" si="83"/>
        <v>0.89363880040196175</v>
      </c>
      <c r="N147" s="11">
        <f t="shared" ca="1" si="84"/>
        <v>0.89363880040196175</v>
      </c>
      <c r="O147" s="11">
        <v>1</v>
      </c>
      <c r="P147" s="11">
        <f t="shared" ca="1" si="70"/>
        <v>0.36332771957733595</v>
      </c>
      <c r="Q147" s="11">
        <f t="shared" ca="1" si="71"/>
        <v>0.25438274549037238</v>
      </c>
      <c r="R147" s="11">
        <f t="shared" ca="1" si="72"/>
        <v>0.65502403090986405</v>
      </c>
      <c r="S147" s="11">
        <f t="shared" ca="1" si="73"/>
        <v>0.31420065111403694</v>
      </c>
      <c r="Z147" s="60">
        <f t="shared" ca="1" si="74"/>
        <v>0.44614513394368549</v>
      </c>
      <c r="AA147" s="60">
        <f t="shared" ca="1" si="75"/>
        <v>-1.0777611743202262</v>
      </c>
      <c r="AB147" s="60">
        <f t="shared" ca="1" si="76"/>
        <v>-0.97728511403695129</v>
      </c>
      <c r="AD147" s="60">
        <v>1</v>
      </c>
      <c r="AE147" s="60">
        <f ca="1">IF(neural_net!Z$12,0,TANH(Z147))</f>
        <v>0.4187251544966844</v>
      </c>
      <c r="AF147" s="60">
        <f ca="1">IF(neural_net!AA$12,0,TANH(AA147))</f>
        <v>-0.792367386140436</v>
      </c>
      <c r="AG147" s="60">
        <f ca="1">IF(neural_net!AB$12,0,TANH(AB147))</f>
        <v>-0.75188824834181345</v>
      </c>
      <c r="AP147" s="62">
        <f t="shared" ca="1" si="77"/>
        <v>0.39320547676733164</v>
      </c>
      <c r="AQ147" s="62">
        <f t="shared" ca="1" si="78"/>
        <v>0.64486168500032459</v>
      </c>
      <c r="AS147" s="62">
        <v>1</v>
      </c>
      <c r="AT147" s="62">
        <f t="shared" ca="1" si="79"/>
        <v>0.39320547676733164</v>
      </c>
      <c r="AU147" s="62">
        <f t="shared" ca="1" si="80"/>
        <v>0.64486168500032459</v>
      </c>
      <c r="BB147" s="65">
        <f t="shared" ca="1" si="85"/>
        <v>0.19858400371004301</v>
      </c>
      <c r="BD147" s="65">
        <f t="shared" ca="1" si="81"/>
        <v>0.54948349008892383</v>
      </c>
      <c r="BG147" s="183">
        <f t="shared" ca="1" si="82"/>
        <v>0.54948349008892383</v>
      </c>
    </row>
    <row r="148" spans="2:59">
      <c r="B148" s="1">
        <v>133</v>
      </c>
      <c r="C148" s="6">
        <v>-11.198445636724639</v>
      </c>
      <c r="D148" s="6">
        <v>5.1865318043856332</v>
      </c>
      <c r="E148" s="6">
        <v>-21.13093445581751</v>
      </c>
      <c r="F148" s="6">
        <v>-18.51118005644966</v>
      </c>
      <c r="G148" s="106">
        <f t="shared" si="83"/>
        <v>8.6823469601994086E-4</v>
      </c>
      <c r="N148" s="11">
        <f t="shared" ca="1" si="84"/>
        <v>8.6823469601994086E-4</v>
      </c>
      <c r="O148" s="11">
        <v>1</v>
      </c>
      <c r="P148" s="11">
        <f t="shared" ref="P148:P165" ca="1" si="86">((C148-MIN(INDIRECT(P$13)))/(MAX(INDIRECT(P$13))-MIN(INDIRECT(P$13))))</f>
        <v>0.26729421388578412</v>
      </c>
      <c r="Q148" s="11">
        <f t="shared" ref="Q148:Q165" ca="1" si="87">((D148-MIN(INDIRECT(Q$13)))/(MAX(INDIRECT(Q$13))-MIN(INDIRECT(Q$13))))</f>
        <v>0.60694641896885759</v>
      </c>
      <c r="R148" s="11">
        <f t="shared" ref="R148:R165" ca="1" si="88">((E148-MIN(INDIRECT(R$13)))/(MAX(INDIRECT(R$13))-MIN(INDIRECT(R$13))))</f>
        <v>9.5045701134720099E-3</v>
      </c>
      <c r="S148" s="11">
        <f t="shared" ref="S148:S165" ca="1" si="89">((F148-MIN(INDIRECT(S$13)))/(MAX(INDIRECT(S$13))-MIN(INDIRECT(S$13))))</f>
        <v>5.4878475132159162E-2</v>
      </c>
      <c r="Z148" s="60">
        <f t="shared" ref="Z148:Z165" ca="1" si="90">MMULT($O148:$S148,V$14:V$18)</f>
        <v>0.72597579918754618</v>
      </c>
      <c r="AA148" s="60">
        <f t="shared" ref="AA148:AA165" ca="1" si="91">MMULT($O148:$S148,W$14:W$18)</f>
        <v>-0.90475975017560994</v>
      </c>
      <c r="AB148" s="60">
        <f t="shared" ref="AB148:AB165" ca="1" si="92">MMULT($O148:$S148,X$14:X$18)</f>
        <v>-0.26250001347454383</v>
      </c>
      <c r="AD148" s="60">
        <v>1</v>
      </c>
      <c r="AE148" s="60">
        <f ca="1">IF(neural_net!Z$12,0,TANH(Z148))</f>
        <v>0.62059721034580217</v>
      </c>
      <c r="AF148" s="60">
        <f ca="1">IF(neural_net!AA$12,0,TANH(AA148))</f>
        <v>-0.7186075830195513</v>
      </c>
      <c r="AG148" s="60">
        <f ca="1">IF(neural_net!AB$12,0,TANH(AB148))</f>
        <v>-0.25663238917784037</v>
      </c>
      <c r="AP148" s="62">
        <f t="shared" ref="AP148:AP165" ca="1" si="93">MMULT($AD148:$AG148,AM$14:AM$17)</f>
        <v>0.77396197457457128</v>
      </c>
      <c r="AQ148" s="62">
        <f t="shared" ref="AQ148:AQ165" ca="1" si="94">MMULT($AD148:$AG148,AN$14:AN$17)</f>
        <v>0.29564399750794468</v>
      </c>
      <c r="AS148" s="62">
        <v>1</v>
      </c>
      <c r="AT148" s="62">
        <f t="shared" ref="AT148:AT165" ca="1" si="95" xml:space="preserve">
IF(activation_3="Sigmoid",(1+EXP(-AP148))^-1,
IF(activation_3="Tanh",TANH(AP148),
IF(activation_3="Leaky ReLU",MAX(AP148,0),
IF(activation_3="Exponential",EXP(AP148),0)
)))</f>
        <v>0.77396197457457128</v>
      </c>
      <c r="AU148" s="62">
        <f t="shared" ref="AU148:AU165" ca="1" si="96" xml:space="preserve">
IF(activation_3="Sigmoid",(1+EXP(-AQ148))^-1,
IF(activation_3="Tanh",TANH(AQ148),
IF(activation_3="Leaky ReLU",MAX(AQ148,0),
IF(activation_3="Exponential",EXP(AQ148),0)
)))</f>
        <v>0.29564399750794468</v>
      </c>
      <c r="BB148" s="65">
        <f t="shared" ca="1" si="85"/>
        <v>-4.2344164286856736E-2</v>
      </c>
      <c r="BD148" s="65">
        <f t="shared" ref="BD148:BD165" ca="1" si="97" xml:space="preserve">
IF(activation_4="Sigmoid",(1+EXP(-BB148))^-1,
IF(activation_4="Tanh",TANH(BB148),
IF(activation_4="Leaky ReLU",MAX(BB148,0),
IF(activation_4="Exponential",EXP(BB148),0)
)))</f>
        <v>0.48941554040061475</v>
      </c>
      <c r="BG148" s="183">
        <f t="shared" ref="BG148:BG165" ca="1" si="98">((MAX(y)-MIN(y))*BD148)+MIN(y)</f>
        <v>0.48941554040061475</v>
      </c>
    </row>
    <row r="149" spans="2:59">
      <c r="B149" s="1">
        <v>134</v>
      </c>
      <c r="C149" s="6">
        <v>18.089336544837977</v>
      </c>
      <c r="D149" s="6">
        <v>-27.274470494363314</v>
      </c>
      <c r="E149" s="6">
        <v>-1.627135894231545</v>
      </c>
      <c r="F149" s="6">
        <v>-4.5962561108958209</v>
      </c>
      <c r="G149" s="106">
        <f t="shared" si="83"/>
        <v>0.10278035128916446</v>
      </c>
      <c r="N149" s="11">
        <f t="shared" ca="1" si="84"/>
        <v>0.10278035128916446</v>
      </c>
      <c r="O149" s="11">
        <v>1</v>
      </c>
      <c r="P149" s="11">
        <f t="shared" ca="1" si="86"/>
        <v>1.0426764794246857</v>
      </c>
      <c r="Q149" s="11">
        <f t="shared" ca="1" si="87"/>
        <v>4.9606126153465532E-2</v>
      </c>
      <c r="R149" s="11">
        <f t="shared" ca="1" si="88"/>
        <v>0.41666797439271103</v>
      </c>
      <c r="S149" s="11">
        <f t="shared" ca="1" si="89"/>
        <v>0.38401917109678047</v>
      </c>
      <c r="Z149" s="60">
        <f t="shared" ca="1" si="90"/>
        <v>0.18759450795677687</v>
      </c>
      <c r="AA149" s="60">
        <f t="shared" ca="1" si="91"/>
        <v>-1.4753467615713634</v>
      </c>
      <c r="AB149" s="60">
        <f t="shared" ca="1" si="92"/>
        <v>-0.30491642333143881</v>
      </c>
      <c r="AD149" s="60">
        <v>1</v>
      </c>
      <c r="AE149" s="60">
        <f ca="1">IF(neural_net!Z$12,0,TANH(Z149))</f>
        <v>0.18542446006955185</v>
      </c>
      <c r="AF149" s="60">
        <f ca="1">IF(neural_net!AA$12,0,TANH(AA149))</f>
        <v>-0.90059251209436486</v>
      </c>
      <c r="AG149" s="60">
        <f ca="1">IF(neural_net!AB$12,0,TANH(AB149))</f>
        <v>-0.29580534240370254</v>
      </c>
      <c r="AP149" s="62">
        <f t="shared" ca="1" si="93"/>
        <v>1.1262055123565515</v>
      </c>
      <c r="AQ149" s="62">
        <f t="shared" ca="1" si="94"/>
        <v>5.2670517253752491E-2</v>
      </c>
      <c r="AS149" s="62">
        <v>1</v>
      </c>
      <c r="AT149" s="62">
        <f t="shared" ca="1" si="95"/>
        <v>1.1262055123565515</v>
      </c>
      <c r="AU149" s="62">
        <f t="shared" ca="1" si="96"/>
        <v>5.2670517253752491E-2</v>
      </c>
      <c r="BB149" s="65">
        <f t="shared" ca="1" si="85"/>
        <v>-0.24774192091234754</v>
      </c>
      <c r="BD149" s="65">
        <f t="shared" ca="1" si="97"/>
        <v>0.43837936714656583</v>
      </c>
      <c r="BG149" s="183">
        <f t="shared" ca="1" si="98"/>
        <v>0.43837936714656583</v>
      </c>
    </row>
    <row r="150" spans="2:59">
      <c r="B150" s="1">
        <v>135</v>
      </c>
      <c r="C150" s="6">
        <v>-13.118866965265415</v>
      </c>
      <c r="D150" s="6">
        <v>9.4143541685009584</v>
      </c>
      <c r="E150" s="6">
        <v>-3.7312409397483846</v>
      </c>
      <c r="F150" s="6">
        <v>7.12994938134457</v>
      </c>
      <c r="G150" s="106">
        <f t="shared" si="83"/>
        <v>1.9477436623284435E-2</v>
      </c>
      <c r="N150" s="11">
        <f t="shared" ca="1" si="84"/>
        <v>1.9477436623284435E-2</v>
      </c>
      <c r="O150" s="11">
        <v>1</v>
      </c>
      <c r="P150" s="11">
        <f t="shared" ca="1" si="86"/>
        <v>0.21645183083055314</v>
      </c>
      <c r="Q150" s="11">
        <f t="shared" ca="1" si="87"/>
        <v>0.67953616012045204</v>
      </c>
      <c r="R150" s="11">
        <f t="shared" ca="1" si="88"/>
        <v>0.37274245031653869</v>
      </c>
      <c r="S150" s="11">
        <f t="shared" ca="1" si="89"/>
        <v>0.66138837928231253</v>
      </c>
      <c r="Z150" s="60">
        <f t="shared" ca="1" si="90"/>
        <v>0.54014108299894403</v>
      </c>
      <c r="AA150" s="60">
        <f t="shared" ca="1" si="91"/>
        <v>-1.502432761227587</v>
      </c>
      <c r="AB150" s="60">
        <f t="shared" ca="1" si="92"/>
        <v>-1.0504146809437995</v>
      </c>
      <c r="AD150" s="60">
        <v>1</v>
      </c>
      <c r="AE150" s="60">
        <f ca="1">IF(neural_net!Z$12,0,TANH(Z150))</f>
        <v>0.49309475383837453</v>
      </c>
      <c r="AF150" s="60">
        <f ca="1">IF(neural_net!AA$12,0,TANH(AA150))</f>
        <v>-0.90558690297422706</v>
      </c>
      <c r="AG150" s="60">
        <f ca="1">IF(neural_net!AB$12,0,TANH(AB150))</f>
        <v>-0.78196752451686857</v>
      </c>
      <c r="AP150" s="62">
        <f t="shared" ca="1" si="93"/>
        <v>0.34838469994078902</v>
      </c>
      <c r="AQ150" s="62">
        <f t="shared" ca="1" si="94"/>
        <v>0.76629317488261839</v>
      </c>
      <c r="AS150" s="62">
        <v>1</v>
      </c>
      <c r="AT150" s="62">
        <f t="shared" ca="1" si="95"/>
        <v>0.34838469994078902</v>
      </c>
      <c r="AU150" s="62">
        <f t="shared" ca="1" si="96"/>
        <v>0.76629317488261839</v>
      </c>
      <c r="BB150" s="65">
        <f t="shared" ca="1" si="85"/>
        <v>0.24448365959378468</v>
      </c>
      <c r="BD150" s="65">
        <f t="shared" ca="1" si="97"/>
        <v>0.56081827909199866</v>
      </c>
      <c r="BG150" s="183">
        <f t="shared" ca="1" si="98"/>
        <v>0.56081827909199866</v>
      </c>
    </row>
    <row r="151" spans="2:59">
      <c r="B151" s="1">
        <v>136</v>
      </c>
      <c r="C151" s="6">
        <v>-5.2481302494584394</v>
      </c>
      <c r="D151" s="6">
        <v>-22.393280232768596</v>
      </c>
      <c r="E151" s="6">
        <v>7.2841567380883561</v>
      </c>
      <c r="F151" s="6">
        <v>7.1707387920614618</v>
      </c>
      <c r="G151" s="106">
        <f t="shared" si="83"/>
        <v>0.54863996966071416</v>
      </c>
      <c r="N151" s="11">
        <f t="shared" ca="1" si="84"/>
        <v>0.54863996966071416</v>
      </c>
      <c r="O151" s="11">
        <v>1</v>
      </c>
      <c r="P151" s="11">
        <f t="shared" ca="1" si="86"/>
        <v>0.42482642294987416</v>
      </c>
      <c r="Q151" s="11">
        <f t="shared" ca="1" si="87"/>
        <v>0.13341388984009969</v>
      </c>
      <c r="R151" s="11">
        <f t="shared" ca="1" si="88"/>
        <v>0.60270108139219336</v>
      </c>
      <c r="S151" s="11">
        <f t="shared" ca="1" si="89"/>
        <v>0.66235320345841842</v>
      </c>
      <c r="Z151" s="60">
        <f t="shared" ca="1" si="90"/>
        <v>0.20952561136076747</v>
      </c>
      <c r="AA151" s="60">
        <f t="shared" ca="1" si="91"/>
        <v>-1.2887545407654286</v>
      </c>
      <c r="AB151" s="60">
        <f t="shared" ca="1" si="92"/>
        <v>-1.1933772526064956</v>
      </c>
      <c r="AD151" s="60">
        <v>1</v>
      </c>
      <c r="AE151" s="60">
        <f ca="1">IF(neural_net!Z$12,0,TANH(Z151))</f>
        <v>0.20651238703832614</v>
      </c>
      <c r="AF151" s="60">
        <f ca="1">IF(neural_net!AA$12,0,TANH(AA151))</f>
        <v>-0.8588000012308411</v>
      </c>
      <c r="AG151" s="60">
        <f ca="1">IF(neural_net!AB$12,0,TANH(AB151))</f>
        <v>-0.83162335159316236</v>
      </c>
      <c r="AP151" s="62">
        <f t="shared" ca="1" si="93"/>
        <v>0.48754406759595958</v>
      </c>
      <c r="AQ151" s="62">
        <f t="shared" ca="1" si="94"/>
        <v>0.57868470661147398</v>
      </c>
      <c r="AS151" s="62">
        <v>1</v>
      </c>
      <c r="AT151" s="62">
        <f t="shared" ca="1" si="95"/>
        <v>0.48754406759595958</v>
      </c>
      <c r="AU151" s="62">
        <f t="shared" ca="1" si="96"/>
        <v>0.57868470661147398</v>
      </c>
      <c r="BB151" s="65">
        <f t="shared" ca="1" si="85"/>
        <v>0.14333304044813522</v>
      </c>
      <c r="BD151" s="65">
        <f t="shared" ca="1" si="97"/>
        <v>0.53577203826756736</v>
      </c>
      <c r="BG151" s="183">
        <f t="shared" ca="1" si="98"/>
        <v>0.53577203826756736</v>
      </c>
    </row>
    <row r="152" spans="2:59">
      <c r="B152" s="1">
        <v>137</v>
      </c>
      <c r="C152" s="6">
        <v>14.194619513758067</v>
      </c>
      <c r="D152" s="6">
        <v>-20.769548435204506</v>
      </c>
      <c r="E152" s="6">
        <v>-1.609246746640747</v>
      </c>
      <c r="F152" s="6">
        <v>13.68994989730133</v>
      </c>
      <c r="G152" s="106">
        <f t="shared" si="83"/>
        <v>0.1200953201699015</v>
      </c>
      <c r="N152" s="11">
        <f t="shared" ca="1" si="84"/>
        <v>0.1200953201699015</v>
      </c>
      <c r="O152" s="11">
        <v>1</v>
      </c>
      <c r="P152" s="11">
        <f t="shared" ca="1" si="86"/>
        <v>0.93956541090913304</v>
      </c>
      <c r="Q152" s="11">
        <f t="shared" ca="1" si="87"/>
        <v>0.16129260865411829</v>
      </c>
      <c r="R152" s="11">
        <f t="shared" ca="1" si="88"/>
        <v>0.41704143016901657</v>
      </c>
      <c r="S152" s="11">
        <f t="shared" ca="1" si="89"/>
        <v>0.81655725722937378</v>
      </c>
      <c r="Z152" s="60">
        <f t="shared" ca="1" si="90"/>
        <v>7.70663773391706E-2</v>
      </c>
      <c r="AA152" s="60">
        <f t="shared" ca="1" si="91"/>
        <v>-1.821750623042558</v>
      </c>
      <c r="AB152" s="60">
        <f t="shared" ca="1" si="92"/>
        <v>-0.71063480560439685</v>
      </c>
      <c r="AD152" s="60">
        <v>1</v>
      </c>
      <c r="AE152" s="60">
        <f ca="1">IF(neural_net!Z$12,0,TANH(Z152))</f>
        <v>7.6914167375461071E-2</v>
      </c>
      <c r="AF152" s="60">
        <f ca="1">IF(neural_net!AA$12,0,TANH(AA152))</f>
        <v>-0.9490126807482272</v>
      </c>
      <c r="AG152" s="60">
        <f ca="1">IF(neural_net!AB$12,0,TANH(AB152))</f>
        <v>-0.61107474847331311</v>
      </c>
      <c r="AP152" s="62">
        <f t="shared" ca="1" si="93"/>
        <v>0.86948197891638335</v>
      </c>
      <c r="AQ152" s="62">
        <f t="shared" ca="1" si="94"/>
        <v>0.29089560210367282</v>
      </c>
      <c r="AS152" s="62">
        <v>1</v>
      </c>
      <c r="AT152" s="62">
        <f t="shared" ca="1" si="95"/>
        <v>0.86948197891638335</v>
      </c>
      <c r="AU152" s="62">
        <f t="shared" ca="1" si="96"/>
        <v>0.29089560210367282</v>
      </c>
      <c r="BB152" s="65">
        <f t="shared" ca="1" si="85"/>
        <v>-8.4693010548517397E-2</v>
      </c>
      <c r="BD152" s="65">
        <f t="shared" ca="1" si="97"/>
        <v>0.47883939443729034</v>
      </c>
      <c r="BG152" s="183">
        <f t="shared" ca="1" si="98"/>
        <v>0.47883939443729034</v>
      </c>
    </row>
    <row r="153" spans="2:59">
      <c r="B153" s="1">
        <v>138</v>
      </c>
      <c r="C153" s="6">
        <v>-1.7429325476868542</v>
      </c>
      <c r="D153" s="6">
        <v>4.6762757160093118</v>
      </c>
      <c r="E153" s="6">
        <v>0.74000805263871638</v>
      </c>
      <c r="F153" s="6">
        <v>-2.1058705108581308</v>
      </c>
      <c r="G153" s="106">
        <f t="shared" si="83"/>
        <v>0.28040510585128198</v>
      </c>
      <c r="N153" s="11">
        <f t="shared" ca="1" si="84"/>
        <v>0.28040510585128198</v>
      </c>
      <c r="O153" s="11">
        <v>1</v>
      </c>
      <c r="P153" s="11">
        <f t="shared" ca="1" si="86"/>
        <v>0.51762512372935365</v>
      </c>
      <c r="Q153" s="11">
        <f t="shared" ca="1" si="87"/>
        <v>0.59818555955086439</v>
      </c>
      <c r="R153" s="11">
        <f t="shared" ca="1" si="88"/>
        <v>0.46608472696956482</v>
      </c>
      <c r="S153" s="11">
        <f t="shared" ca="1" si="89"/>
        <v>0.44292623036810236</v>
      </c>
      <c r="Z153" s="60">
        <f t="shared" ca="1" si="90"/>
        <v>0.55743714805484545</v>
      </c>
      <c r="AA153" s="60">
        <f t="shared" ca="1" si="91"/>
        <v>-1.546018329858319</v>
      </c>
      <c r="AB153" s="60">
        <f t="shared" ca="1" si="92"/>
        <v>-0.70392878070549125</v>
      </c>
      <c r="AD153" s="60">
        <v>1</v>
      </c>
      <c r="AE153" s="60">
        <f ca="1">IF(neural_net!Z$12,0,TANH(Z153))</f>
        <v>0.50607342741610628</v>
      </c>
      <c r="AF153" s="60">
        <f ca="1">IF(neural_net!AA$12,0,TANH(AA153))</f>
        <v>-0.91312613465084358</v>
      </c>
      <c r="AG153" s="60">
        <f ca="1">IF(neural_net!AB$12,0,TANH(AB153))</f>
        <v>-0.60685560979044095</v>
      </c>
      <c r="AP153" s="62">
        <f t="shared" ca="1" si="93"/>
        <v>0.53986402536241218</v>
      </c>
      <c r="AQ153" s="62">
        <f t="shared" ca="1" si="94"/>
        <v>0.60789240761891938</v>
      </c>
      <c r="AS153" s="62">
        <v>1</v>
      </c>
      <c r="AT153" s="62">
        <f t="shared" ca="1" si="95"/>
        <v>0.53986402536241218</v>
      </c>
      <c r="AU153" s="62">
        <f t="shared" ca="1" si="96"/>
        <v>0.60789240761891938</v>
      </c>
      <c r="BB153" s="65">
        <f t="shared" ca="1" si="85"/>
        <v>0.12708243548361625</v>
      </c>
      <c r="BD153" s="65">
        <f t="shared" ca="1" si="97"/>
        <v>0.53172792001194813</v>
      </c>
      <c r="BG153" s="183">
        <f t="shared" ca="1" si="98"/>
        <v>0.53172792001194813</v>
      </c>
    </row>
    <row r="154" spans="2:59">
      <c r="B154" s="1">
        <v>139</v>
      </c>
      <c r="C154" s="6">
        <v>3.741356099429765</v>
      </c>
      <c r="D154" s="6">
        <v>-11.628551386868599</v>
      </c>
      <c r="E154" s="6">
        <v>-0.87297088395578359</v>
      </c>
      <c r="F154" s="6">
        <v>11.154646213996189</v>
      </c>
      <c r="G154" s="106">
        <f t="shared" si="83"/>
        <v>0.28371945217690947</v>
      </c>
      <c r="N154" s="11">
        <f t="shared" ca="1" si="84"/>
        <v>0.28371945217690947</v>
      </c>
      <c r="O154" s="11">
        <v>1</v>
      </c>
      <c r="P154" s="11">
        <f t="shared" ca="1" si="86"/>
        <v>0.66281946209573106</v>
      </c>
      <c r="Q154" s="11">
        <f t="shared" ca="1" si="87"/>
        <v>0.3182392711341156</v>
      </c>
      <c r="R154" s="11">
        <f t="shared" ca="1" si="88"/>
        <v>0.43241200456214468</v>
      </c>
      <c r="S154" s="11">
        <f t="shared" ca="1" si="89"/>
        <v>0.75658771502635247</v>
      </c>
      <c r="Z154" s="60">
        <f t="shared" ca="1" si="90"/>
        <v>0.23279724045682471</v>
      </c>
      <c r="AA154" s="60">
        <f t="shared" ca="1" si="91"/>
        <v>-1.6735118166451617</v>
      </c>
      <c r="AB154" s="60">
        <f t="shared" ca="1" si="92"/>
        <v>-0.87640733885154964</v>
      </c>
      <c r="AD154" s="60">
        <v>1</v>
      </c>
      <c r="AE154" s="60">
        <f ca="1">IF(neural_net!Z$12,0,TANH(Z154))</f>
        <v>0.22868100096167945</v>
      </c>
      <c r="AF154" s="60">
        <f ca="1">IF(neural_net!AA$12,0,TANH(AA154))</f>
        <v>-0.93201447113698688</v>
      </c>
      <c r="AG154" s="60">
        <f ca="1">IF(neural_net!AB$12,0,TANH(AB154))</f>
        <v>-0.70461492702465134</v>
      </c>
      <c r="AP154" s="62">
        <f t="shared" ca="1" si="93"/>
        <v>0.64366118378443382</v>
      </c>
      <c r="AQ154" s="62">
        <f t="shared" ca="1" si="94"/>
        <v>0.49434477792385251</v>
      </c>
      <c r="AS154" s="62">
        <v>1</v>
      </c>
      <c r="AT154" s="62">
        <f t="shared" ca="1" si="95"/>
        <v>0.64366118378443382</v>
      </c>
      <c r="AU154" s="62">
        <f t="shared" ca="1" si="96"/>
        <v>0.49434477792385251</v>
      </c>
      <c r="BB154" s="65">
        <f t="shared" ca="1" si="85"/>
        <v>5.7397187592444582E-2</v>
      </c>
      <c r="BD154" s="65">
        <f t="shared" ca="1" si="97"/>
        <v>0.51434535879076704</v>
      </c>
      <c r="BG154" s="183">
        <f t="shared" ca="1" si="98"/>
        <v>0.51434535879076704</v>
      </c>
    </row>
    <row r="155" spans="2:59">
      <c r="B155" s="1">
        <v>140</v>
      </c>
      <c r="C155" s="6">
        <v>13.791072842896984</v>
      </c>
      <c r="D155" s="6">
        <v>3.731280819793763</v>
      </c>
      <c r="E155" s="6">
        <v>-10.153817714319654</v>
      </c>
      <c r="F155" s="6">
        <v>-2.9674635611931839</v>
      </c>
      <c r="G155" s="106">
        <f t="shared" si="83"/>
        <v>0.99991538802669067</v>
      </c>
      <c r="N155" s="11">
        <f t="shared" ca="1" si="84"/>
        <v>0.99991538802669067</v>
      </c>
      <c r="O155" s="11">
        <v>1</v>
      </c>
      <c r="P155" s="11">
        <f t="shared" ca="1" si="86"/>
        <v>0.92888167494158247</v>
      </c>
      <c r="Q155" s="11">
        <f t="shared" ca="1" si="87"/>
        <v>0.58196043725431335</v>
      </c>
      <c r="R155" s="11">
        <f t="shared" ca="1" si="88"/>
        <v>0.23866404422954673</v>
      </c>
      <c r="S155" s="11">
        <f t="shared" ca="1" si="89"/>
        <v>0.42254628885098233</v>
      </c>
      <c r="Z155" s="60">
        <f t="shared" ca="1" si="90"/>
        <v>0.48510612103195461</v>
      </c>
      <c r="AA155" s="60">
        <f t="shared" ca="1" si="91"/>
        <v>-1.8041641922387983</v>
      </c>
      <c r="AB155" s="60">
        <f t="shared" ca="1" si="92"/>
        <v>-0.15350594759451888</v>
      </c>
      <c r="AD155" s="60">
        <v>1</v>
      </c>
      <c r="AE155" s="60">
        <f ca="1">IF(neural_net!Z$12,0,TANH(Z155))</f>
        <v>0.45032360022764356</v>
      </c>
      <c r="AF155" s="60">
        <f ca="1">IF(neural_net!AA$12,0,TANH(AA155))</f>
        <v>-0.94723555379740187</v>
      </c>
      <c r="AG155" s="60">
        <f ca="1">IF(neural_net!AB$12,0,TANH(AB155))</f>
        <v>-0.15231146316541172</v>
      </c>
      <c r="AP155" s="62">
        <f t="shared" ca="1" si="93"/>
        <v>1.109371317662321</v>
      </c>
      <c r="AQ155" s="62">
        <f t="shared" ca="1" si="94"/>
        <v>0.13195997611791194</v>
      </c>
      <c r="AS155" s="62">
        <v>1</v>
      </c>
      <c r="AT155" s="62">
        <f t="shared" ca="1" si="95"/>
        <v>1.109371317662321</v>
      </c>
      <c r="AU155" s="62">
        <f t="shared" ca="1" si="96"/>
        <v>0.13195997611791194</v>
      </c>
      <c r="BB155" s="65">
        <f t="shared" ca="1" si="85"/>
        <v>-0.22314816110073418</v>
      </c>
      <c r="BD155" s="65">
        <f t="shared" ca="1" si="97"/>
        <v>0.44444330622584099</v>
      </c>
      <c r="BG155" s="183">
        <f t="shared" ca="1" si="98"/>
        <v>0.44444330622584099</v>
      </c>
    </row>
    <row r="156" spans="2:59">
      <c r="B156" s="1">
        <v>141</v>
      </c>
      <c r="C156" s="6">
        <v>2.6435335998609633</v>
      </c>
      <c r="D156" s="6">
        <v>-3.7908105999960009</v>
      </c>
      <c r="E156" s="6">
        <v>2.2262725477521852</v>
      </c>
      <c r="F156" s="6">
        <v>7.8458019935192391</v>
      </c>
      <c r="G156" s="106">
        <f t="shared" si="83"/>
        <v>9.6744145581067698E-2</v>
      </c>
      <c r="N156" s="11">
        <f t="shared" ca="1" si="84"/>
        <v>9.6744145581067698E-2</v>
      </c>
      <c r="O156" s="11">
        <v>1</v>
      </c>
      <c r="P156" s="11">
        <f t="shared" ca="1" si="86"/>
        <v>0.63375505252049502</v>
      </c>
      <c r="Q156" s="11">
        <f t="shared" ca="1" si="87"/>
        <v>0.45280963051377876</v>
      </c>
      <c r="R156" s="11">
        <f t="shared" ca="1" si="88"/>
        <v>0.49711214501733181</v>
      </c>
      <c r="S156" s="11">
        <f t="shared" ca="1" si="89"/>
        <v>0.67832100700641496</v>
      </c>
      <c r="Z156" s="60">
        <f t="shared" ca="1" si="90"/>
        <v>0.35597162738372784</v>
      </c>
      <c r="AA156" s="60">
        <f t="shared" ca="1" si="91"/>
        <v>-1.71788800048042</v>
      </c>
      <c r="AB156" s="60">
        <f t="shared" ca="1" si="92"/>
        <v>-0.8525828710539759</v>
      </c>
      <c r="AD156" s="60">
        <v>1</v>
      </c>
      <c r="AE156" s="60">
        <f ca="1">IF(neural_net!Z$12,0,TANH(Z156))</f>
        <v>0.34166081160750061</v>
      </c>
      <c r="AF156" s="60">
        <f ca="1">IF(neural_net!AA$12,0,TANH(AA156))</f>
        <v>-0.93760821526943416</v>
      </c>
      <c r="AG156" s="60">
        <f ca="1">IF(neural_net!AB$12,0,TANH(AB156))</f>
        <v>-0.69241641383225772</v>
      </c>
      <c r="AP156" s="62">
        <f t="shared" ca="1" si="93"/>
        <v>0.57537543369777111</v>
      </c>
      <c r="AQ156" s="62">
        <f t="shared" ca="1" si="94"/>
        <v>0.57157672129647641</v>
      </c>
      <c r="AS156" s="62">
        <v>1</v>
      </c>
      <c r="AT156" s="62">
        <f t="shared" ca="1" si="95"/>
        <v>0.57537543369777111</v>
      </c>
      <c r="AU156" s="62">
        <f t="shared" ca="1" si="96"/>
        <v>0.57157672129647641</v>
      </c>
      <c r="BB156" s="65">
        <f t="shared" ca="1" si="85"/>
        <v>0.10379427780370606</v>
      </c>
      <c r="BD156" s="65">
        <f t="shared" ca="1" si="97"/>
        <v>0.52592529864745707</v>
      </c>
      <c r="BG156" s="183">
        <f t="shared" ca="1" si="98"/>
        <v>0.52592529864745707</v>
      </c>
    </row>
    <row r="157" spans="2:59">
      <c r="B157" s="1">
        <v>142</v>
      </c>
      <c r="C157" s="6">
        <v>-0.68250694871567108</v>
      </c>
      <c r="D157" s="6">
        <v>6.1189528426687048</v>
      </c>
      <c r="E157" s="6">
        <v>-19.183901685672378</v>
      </c>
      <c r="F157" s="6">
        <v>6.9102686779527387</v>
      </c>
      <c r="G157" s="106">
        <f t="shared" si="83"/>
        <v>0.74143733609570961</v>
      </c>
      <c r="N157" s="11">
        <f t="shared" ca="1" si="84"/>
        <v>0.74143733609570961</v>
      </c>
      <c r="O157" s="11">
        <v>1</v>
      </c>
      <c r="P157" s="11">
        <f t="shared" ca="1" si="86"/>
        <v>0.54569946538719838</v>
      </c>
      <c r="Q157" s="11">
        <f t="shared" ca="1" si="87"/>
        <v>0.62295565398018526</v>
      </c>
      <c r="R157" s="11">
        <f t="shared" ca="1" si="88"/>
        <v>5.0151036412448446E-2</v>
      </c>
      <c r="S157" s="11">
        <f t="shared" ca="1" si="89"/>
        <v>0.65619209794528888</v>
      </c>
      <c r="Z157" s="60">
        <f t="shared" ca="1" si="90"/>
        <v>0.43962333884029747</v>
      </c>
      <c r="AA157" s="60">
        <f t="shared" ca="1" si="91"/>
        <v>-1.641790400986497</v>
      </c>
      <c r="AB157" s="60">
        <f t="shared" ca="1" si="92"/>
        <v>-0.52251542411642082</v>
      </c>
      <c r="AD157" s="60">
        <v>1</v>
      </c>
      <c r="AE157" s="60">
        <f ca="1">IF(neural_net!Z$12,0,TANH(Z157))</f>
        <v>0.4133321797645263</v>
      </c>
      <c r="AF157" s="60">
        <f ca="1">IF(neural_net!AA$12,0,TANH(AA157))</f>
        <v>-0.92772244051320163</v>
      </c>
      <c r="AG157" s="60">
        <f ca="1">IF(neural_net!AB$12,0,TANH(AB157))</f>
        <v>-0.47963908916928211</v>
      </c>
      <c r="AP157" s="62">
        <f t="shared" ca="1" si="93"/>
        <v>0.75880764773569143</v>
      </c>
      <c r="AQ157" s="62">
        <f t="shared" ca="1" si="94"/>
        <v>0.41654508840176002</v>
      </c>
      <c r="AS157" s="62">
        <v>1</v>
      </c>
      <c r="AT157" s="62">
        <f t="shared" ca="1" si="95"/>
        <v>0.75880764773569143</v>
      </c>
      <c r="AU157" s="62">
        <f t="shared" ca="1" si="96"/>
        <v>0.41654508840176002</v>
      </c>
      <c r="BB157" s="65">
        <f t="shared" ca="1" si="85"/>
        <v>-9.3909442341946758E-3</v>
      </c>
      <c r="BD157" s="65">
        <f t="shared" ca="1" si="97"/>
        <v>0.49765228119517019</v>
      </c>
      <c r="BG157" s="183">
        <f t="shared" ca="1" si="98"/>
        <v>0.49765228119517019</v>
      </c>
    </row>
    <row r="158" spans="2:59">
      <c r="B158" s="1">
        <v>143</v>
      </c>
      <c r="C158" s="6">
        <v>8.0177477432547501</v>
      </c>
      <c r="D158" s="6">
        <v>15.032817556973203</v>
      </c>
      <c r="E158" s="6">
        <v>0.37683703749240793</v>
      </c>
      <c r="F158" s="6">
        <v>1.2259329351984825</v>
      </c>
      <c r="G158" s="106">
        <f t="shared" si="83"/>
        <v>0.80943681814871493</v>
      </c>
      <c r="N158" s="11">
        <f t="shared" ca="1" si="84"/>
        <v>0.80943681814871493</v>
      </c>
      <c r="O158" s="11">
        <v>1</v>
      </c>
      <c r="P158" s="11">
        <f t="shared" ca="1" si="86"/>
        <v>0.77603521262832165</v>
      </c>
      <c r="Q158" s="11">
        <f t="shared" ca="1" si="87"/>
        <v>0.77600256005735013</v>
      </c>
      <c r="R158" s="11">
        <f t="shared" ca="1" si="88"/>
        <v>0.45850312965170908</v>
      </c>
      <c r="S158" s="11">
        <f t="shared" ca="1" si="89"/>
        <v>0.52173601110016299</v>
      </c>
      <c r="Z158" s="60">
        <f t="shared" ca="1" si="90"/>
        <v>0.59454844456000777</v>
      </c>
      <c r="AA158" s="60">
        <f t="shared" ca="1" si="91"/>
        <v>-1.9760232901739885</v>
      </c>
      <c r="AB158" s="60">
        <f t="shared" ca="1" si="92"/>
        <v>-0.48363233634144076</v>
      </c>
      <c r="AD158" s="60">
        <v>1</v>
      </c>
      <c r="AE158" s="60">
        <f ca="1">IF(neural_net!Z$12,0,TANH(Z158))</f>
        <v>0.53315900931549409</v>
      </c>
      <c r="AF158" s="60">
        <f ca="1">IF(neural_net!AA$12,0,TANH(AA158))</f>
        <v>-0.96229386449911669</v>
      </c>
      <c r="AG158" s="60">
        <f ca="1">IF(neural_net!AB$12,0,TANH(AB158))</f>
        <v>-0.44914790688367145</v>
      </c>
      <c r="AP158" s="62">
        <f t="shared" ca="1" si="93"/>
        <v>0.7175600582626479</v>
      </c>
      <c r="AQ158" s="62">
        <f t="shared" ca="1" si="94"/>
        <v>0.49008352686206402</v>
      </c>
      <c r="AS158" s="62">
        <v>1</v>
      </c>
      <c r="AT158" s="62">
        <f t="shared" ca="1" si="95"/>
        <v>0.7175600582626479</v>
      </c>
      <c r="AU158" s="62">
        <f t="shared" ca="1" si="96"/>
        <v>0.49008352686206402</v>
      </c>
      <c r="BB158" s="65">
        <f t="shared" ca="1" si="85"/>
        <v>2.4505763358600274E-2</v>
      </c>
      <c r="BD158" s="65">
        <f t="shared" ca="1" si="97"/>
        <v>0.50612613426418984</v>
      </c>
      <c r="BG158" s="183">
        <f t="shared" ca="1" si="98"/>
        <v>0.50612613426418984</v>
      </c>
    </row>
    <row r="159" spans="2:59">
      <c r="B159" s="1">
        <v>144</v>
      </c>
      <c r="C159" s="6">
        <v>3.0199108345394676</v>
      </c>
      <c r="D159" s="6">
        <v>11.684930193086107</v>
      </c>
      <c r="E159" s="6">
        <v>1.8031714952224607</v>
      </c>
      <c r="F159" s="6">
        <v>9.4048162269655009</v>
      </c>
      <c r="G159" s="106">
        <f t="shared" si="83"/>
        <v>0.66362050743001944</v>
      </c>
      <c r="N159" s="11">
        <f t="shared" ca="1" si="84"/>
        <v>0.66362050743001944</v>
      </c>
      <c r="O159" s="11">
        <v>1</v>
      </c>
      <c r="P159" s="11">
        <f t="shared" ca="1" si="86"/>
        <v>0.64371948858168648</v>
      </c>
      <c r="Q159" s="11">
        <f t="shared" ca="1" si="87"/>
        <v>0.71852089308572686</v>
      </c>
      <c r="R159" s="11">
        <f t="shared" ca="1" si="88"/>
        <v>0.48827944176938953</v>
      </c>
      <c r="S159" s="11">
        <f t="shared" ca="1" si="89"/>
        <v>0.71519760308577862</v>
      </c>
      <c r="Z159" s="60">
        <f t="shared" ca="1" si="90"/>
        <v>0.49502039392704844</v>
      </c>
      <c r="AA159" s="60">
        <f t="shared" ca="1" si="91"/>
        <v>-1.9755625391251552</v>
      </c>
      <c r="AB159" s="60">
        <f t="shared" ca="1" si="92"/>
        <v>-0.79355202533763392</v>
      </c>
      <c r="AD159" s="60">
        <v>1</v>
      </c>
      <c r="AE159" s="60">
        <f ca="1">IF(neural_net!Z$12,0,TANH(Z159))</f>
        <v>0.45819195727783296</v>
      </c>
      <c r="AF159" s="60">
        <f ca="1">IF(neural_net!AA$12,0,TANH(AA159))</f>
        <v>-0.96225975817060549</v>
      </c>
      <c r="AG159" s="60">
        <f ca="1">IF(neural_net!AB$12,0,TANH(AB159))</f>
        <v>-0.66041654619782686</v>
      </c>
      <c r="AP159" s="62">
        <f t="shared" ca="1" si="93"/>
        <v>0.53437679822825768</v>
      </c>
      <c r="AQ159" s="62">
        <f t="shared" ca="1" si="94"/>
        <v>0.63806615693676072</v>
      </c>
      <c r="AS159" s="62">
        <v>1</v>
      </c>
      <c r="AT159" s="62">
        <f t="shared" ca="1" si="95"/>
        <v>0.53437679822825768</v>
      </c>
      <c r="AU159" s="62">
        <f t="shared" ca="1" si="96"/>
        <v>0.63806615693676072</v>
      </c>
      <c r="BB159" s="65">
        <f t="shared" ca="1" si="85"/>
        <v>0.13604414765188619</v>
      </c>
      <c r="BD159" s="65">
        <f t="shared" ca="1" si="97"/>
        <v>0.53395867743322745</v>
      </c>
      <c r="BG159" s="183">
        <f t="shared" ca="1" si="98"/>
        <v>0.53395867743322745</v>
      </c>
    </row>
    <row r="160" spans="2:59">
      <c r="B160" s="1">
        <v>145</v>
      </c>
      <c r="C160" s="6">
        <v>12.348111460847162</v>
      </c>
      <c r="D160" s="6">
        <v>-1.4606071331938613</v>
      </c>
      <c r="E160" s="6">
        <v>19.221881331787898</v>
      </c>
      <c r="F160" s="6">
        <v>-17.941769134697672</v>
      </c>
      <c r="G160" s="106">
        <f t="shared" si="83"/>
        <v>1.6517331063877144E-11</v>
      </c>
      <c r="N160" s="11">
        <f t="shared" ca="1" si="84"/>
        <v>1.6517331063877144E-11</v>
      </c>
      <c r="O160" s="11">
        <v>1</v>
      </c>
      <c r="P160" s="11">
        <f t="shared" ca="1" si="86"/>
        <v>0.89067985212813372</v>
      </c>
      <c r="Q160" s="11">
        <f t="shared" ca="1" si="87"/>
        <v>0.49281813889421772</v>
      </c>
      <c r="R160" s="11">
        <f t="shared" ca="1" si="88"/>
        <v>0.85191430873201968</v>
      </c>
      <c r="S160" s="11">
        <f t="shared" ca="1" si="89"/>
        <v>6.8347201789137405E-2</v>
      </c>
      <c r="Z160" s="60">
        <f t="shared" ca="1" si="90"/>
        <v>0.64470840695004739</v>
      </c>
      <c r="AA160" s="60">
        <f t="shared" ca="1" si="91"/>
        <v>-1.5902681982188227</v>
      </c>
      <c r="AB160" s="60">
        <f t="shared" ca="1" si="92"/>
        <v>-0.40088133406234888</v>
      </c>
      <c r="AD160" s="60">
        <v>1</v>
      </c>
      <c r="AE160" s="60">
        <f ca="1">IF(neural_net!Z$12,0,TANH(Z160))</f>
        <v>0.56809692504465015</v>
      </c>
      <c r="AF160" s="60">
        <f ca="1">IF(neural_net!AA$12,0,TANH(AA160))</f>
        <v>-0.92019044349513912</v>
      </c>
      <c r="AG160" s="60">
        <f ca="1">IF(neural_net!AB$12,0,TANH(AB160))</f>
        <v>-0.38070281323126343</v>
      </c>
      <c r="AP160" s="62">
        <f t="shared" ca="1" si="93"/>
        <v>0.75232704272492357</v>
      </c>
      <c r="AQ160" s="62">
        <f t="shared" ca="1" si="94"/>
        <v>0.43752756564168332</v>
      </c>
      <c r="AS160" s="62">
        <v>1</v>
      </c>
      <c r="AT160" s="62">
        <f t="shared" ca="1" si="95"/>
        <v>0.75232704272492357</v>
      </c>
      <c r="AU160" s="62">
        <f t="shared" ca="1" si="96"/>
        <v>0.43752756564168332</v>
      </c>
      <c r="BB160" s="65">
        <f t="shared" ca="1" si="85"/>
        <v>-2.0065356629965503E-3</v>
      </c>
      <c r="BD160" s="65">
        <f t="shared" ca="1" si="97"/>
        <v>0.49949836625255667</v>
      </c>
      <c r="BG160" s="183">
        <f t="shared" ca="1" si="98"/>
        <v>0.49949836625255667</v>
      </c>
    </row>
    <row r="161" spans="2:59">
      <c r="B161" s="1">
        <v>146</v>
      </c>
      <c r="C161" s="6">
        <v>-12.636707087801394</v>
      </c>
      <c r="D161" s="6">
        <v>-11.645606173160363</v>
      </c>
      <c r="E161" s="6">
        <v>6.7255952075566778</v>
      </c>
      <c r="F161" s="6">
        <v>-15.162163028132284</v>
      </c>
      <c r="G161" s="106">
        <f t="shared" si="83"/>
        <v>0.97002924623392395</v>
      </c>
      <c r="N161" s="11">
        <f t="shared" ca="1" si="84"/>
        <v>0.97002924623392395</v>
      </c>
      <c r="O161" s="11">
        <v>1</v>
      </c>
      <c r="P161" s="11">
        <f t="shared" ca="1" si="86"/>
        <v>0.22921681985643319</v>
      </c>
      <c r="Q161" s="11">
        <f t="shared" ca="1" si="87"/>
        <v>0.31794644839567165</v>
      </c>
      <c r="R161" s="11">
        <f t="shared" ca="1" si="88"/>
        <v>0.59104049058202013</v>
      </c>
      <c r="S161" s="11">
        <f t="shared" ca="1" si="89"/>
        <v>0.13409542233293495</v>
      </c>
      <c r="Z161" s="60">
        <f t="shared" ca="1" si="90"/>
        <v>0.57442531660187768</v>
      </c>
      <c r="AA161" s="60">
        <f t="shared" ca="1" si="91"/>
        <v>-0.85628483832094293</v>
      </c>
      <c r="AB161" s="60">
        <f t="shared" ca="1" si="92"/>
        <v>-0.88569702810765327</v>
      </c>
      <c r="AD161" s="60">
        <v>1</v>
      </c>
      <c r="AE161" s="60">
        <f ca="1">IF(neural_net!Z$12,0,TANH(Z161))</f>
        <v>0.51860183559154649</v>
      </c>
      <c r="AF161" s="60">
        <f ca="1">IF(neural_net!AA$12,0,TANH(AA161))</f>
        <v>-0.69433857224325291</v>
      </c>
      <c r="AG161" s="60">
        <f ca="1">IF(neural_net!AB$12,0,TANH(AB161))</f>
        <v>-0.70926189981515519</v>
      </c>
      <c r="AP161" s="62">
        <f t="shared" ca="1" si="93"/>
        <v>0.3282106410504062</v>
      </c>
      <c r="AQ161" s="62">
        <f t="shared" ca="1" si="94"/>
        <v>0.65065689290855666</v>
      </c>
      <c r="AS161" s="62">
        <v>1</v>
      </c>
      <c r="AT161" s="62">
        <f t="shared" ca="1" si="95"/>
        <v>0.3282106410504062</v>
      </c>
      <c r="AU161" s="62">
        <f t="shared" ca="1" si="96"/>
        <v>0.65065689290855666</v>
      </c>
      <c r="BB161" s="65">
        <f t="shared" ca="1" si="85"/>
        <v>0.2279594095249815</v>
      </c>
      <c r="BD161" s="65">
        <f t="shared" ca="1" si="97"/>
        <v>0.55674433599532791</v>
      </c>
      <c r="BG161" s="183">
        <f t="shared" ca="1" si="98"/>
        <v>0.55674433599532791</v>
      </c>
    </row>
    <row r="162" spans="2:59">
      <c r="B162" s="1">
        <v>147</v>
      </c>
      <c r="C162" s="6">
        <v>-4.2761285017956556</v>
      </c>
      <c r="D162" s="6">
        <v>8.9060498349317889</v>
      </c>
      <c r="E162" s="6">
        <v>-6.3528953000774058</v>
      </c>
      <c r="F162" s="6">
        <v>0.23827012058085406</v>
      </c>
      <c r="G162" s="106">
        <f t="shared" si="83"/>
        <v>0.9999931474010304</v>
      </c>
      <c r="N162" s="11">
        <f t="shared" ca="1" si="84"/>
        <v>0.9999931474010304</v>
      </c>
      <c r="O162" s="11">
        <v>1</v>
      </c>
      <c r="P162" s="11">
        <f t="shared" ca="1" si="86"/>
        <v>0.45055977867269137</v>
      </c>
      <c r="Q162" s="11">
        <f t="shared" ca="1" si="87"/>
        <v>0.6708088114235915</v>
      </c>
      <c r="R162" s="11">
        <f t="shared" ca="1" si="88"/>
        <v>0.31801251087297444</v>
      </c>
      <c r="S162" s="11">
        <f t="shared" ca="1" si="89"/>
        <v>0.49837404178911299</v>
      </c>
      <c r="Z162" s="60">
        <f t="shared" ca="1" si="90"/>
        <v>0.57204923012498998</v>
      </c>
      <c r="AA162" s="60">
        <f t="shared" ca="1" si="91"/>
        <v>-1.5514935787383366</v>
      </c>
      <c r="AB162" s="60">
        <f t="shared" ca="1" si="92"/>
        <v>-0.67369357574953326</v>
      </c>
      <c r="AD162" s="60">
        <v>1</v>
      </c>
      <c r="AE162" s="60">
        <f ca="1">IF(neural_net!Z$12,0,TANH(Z162))</f>
        <v>0.51686265267438458</v>
      </c>
      <c r="AF162" s="60">
        <f ca="1">IF(neural_net!AA$12,0,TANH(AA162))</f>
        <v>-0.914031588690979</v>
      </c>
      <c r="AG162" s="60">
        <f ca="1">IF(neural_net!AB$12,0,TANH(AB162))</f>
        <v>-0.58740426230098419</v>
      </c>
      <c r="AP162" s="62">
        <f t="shared" ca="1" si="93"/>
        <v>0.55418555791383617</v>
      </c>
      <c r="AQ162" s="62">
        <f t="shared" ca="1" si="94"/>
        <v>0.59755081274084731</v>
      </c>
      <c r="AS162" s="62">
        <v>1</v>
      </c>
      <c r="AT162" s="62">
        <f t="shared" ca="1" si="95"/>
        <v>0.55418555791383617</v>
      </c>
      <c r="AU162" s="62">
        <f t="shared" ca="1" si="96"/>
        <v>0.59755081274084731</v>
      </c>
      <c r="BB162" s="65">
        <f t="shared" ca="1" si="85"/>
        <v>0.1186303182027085</v>
      </c>
      <c r="BD162" s="65">
        <f t="shared" ca="1" si="97"/>
        <v>0.52962284712626695</v>
      </c>
      <c r="BG162" s="183">
        <f t="shared" ca="1" si="98"/>
        <v>0.52962284712626695</v>
      </c>
    </row>
    <row r="163" spans="2:59">
      <c r="B163" s="1">
        <v>148</v>
      </c>
      <c r="C163" s="6">
        <v>-1.8360862422858324</v>
      </c>
      <c r="D163" s="6">
        <v>11.812083119036121</v>
      </c>
      <c r="E163" s="6">
        <v>-7.4500355196862724</v>
      </c>
      <c r="F163" s="6">
        <v>-4.9382805800388416</v>
      </c>
      <c r="G163" s="106">
        <f t="shared" si="83"/>
        <v>0.22782405321149915</v>
      </c>
      <c r="N163" s="11">
        <f t="shared" ca="1" si="84"/>
        <v>0.22782405321149915</v>
      </c>
      <c r="O163" s="11">
        <v>1</v>
      </c>
      <c r="P163" s="11">
        <f t="shared" ca="1" si="86"/>
        <v>0.51515891709364103</v>
      </c>
      <c r="Q163" s="11">
        <f t="shared" ca="1" si="87"/>
        <v>0.72070404961087353</v>
      </c>
      <c r="R163" s="11">
        <f t="shared" ca="1" si="88"/>
        <v>0.29510849320805388</v>
      </c>
      <c r="S163" s="11">
        <f t="shared" ca="1" si="89"/>
        <v>0.37592899595452722</v>
      </c>
      <c r="Z163" s="60">
        <f t="shared" ca="1" si="90"/>
        <v>0.64513258508868321</v>
      </c>
      <c r="AA163" s="60">
        <f t="shared" ca="1" si="91"/>
        <v>-1.5455832970675989</v>
      </c>
      <c r="AB163" s="60">
        <f t="shared" ca="1" si="92"/>
        <v>-0.48765023482878722</v>
      </c>
      <c r="AD163" s="60">
        <v>1</v>
      </c>
      <c r="AE163" s="60">
        <f ca="1">IF(neural_net!Z$12,0,TANH(Z163))</f>
        <v>0.56838413719861036</v>
      </c>
      <c r="AF163" s="60">
        <f ca="1">IF(neural_net!AA$12,0,TANH(AA163))</f>
        <v>-0.91305380318456431</v>
      </c>
      <c r="AG163" s="60">
        <f ca="1">IF(neural_net!AB$12,0,TANH(AB163))</f>
        <v>-0.45234946441426432</v>
      </c>
      <c r="AP163" s="62">
        <f t="shared" ca="1" si="93"/>
        <v>0.66820691727861492</v>
      </c>
      <c r="AQ163" s="62">
        <f t="shared" ca="1" si="94"/>
        <v>0.50543111048472644</v>
      </c>
      <c r="AS163" s="62">
        <v>1</v>
      </c>
      <c r="AT163" s="62">
        <f t="shared" ca="1" si="95"/>
        <v>0.66820691727861492</v>
      </c>
      <c r="AU163" s="62">
        <f t="shared" ca="1" si="96"/>
        <v>0.50543111048472644</v>
      </c>
      <c r="BB163" s="65">
        <f t="shared" ca="1" si="85"/>
        <v>4.920198163347389E-2</v>
      </c>
      <c r="BD163" s="65">
        <f t="shared" ca="1" si="97"/>
        <v>0.5122980145531274</v>
      </c>
      <c r="BG163" s="183">
        <f t="shared" ca="1" si="98"/>
        <v>0.5122980145531274</v>
      </c>
    </row>
    <row r="164" spans="2:59">
      <c r="B164" s="1">
        <v>149</v>
      </c>
      <c r="C164" s="6">
        <v>-10.596321712902213</v>
      </c>
      <c r="D164" s="6">
        <v>1.8391522973307231</v>
      </c>
      <c r="E164" s="6">
        <v>-13.191281100037596</v>
      </c>
      <c r="F164" s="6">
        <v>0.84421724185186353</v>
      </c>
      <c r="G164" s="106">
        <f t="shared" si="83"/>
        <v>7.6983257904574438E-5</v>
      </c>
      <c r="N164" s="11">
        <f t="shared" ca="1" si="84"/>
        <v>7.6983257904574438E-5</v>
      </c>
      <c r="O164" s="11">
        <v>1</v>
      </c>
      <c r="P164" s="11">
        <f t="shared" ca="1" si="86"/>
        <v>0.28323520283791159</v>
      </c>
      <c r="Q164" s="11">
        <f t="shared" ca="1" si="87"/>
        <v>0.54947347166254079</v>
      </c>
      <c r="R164" s="11">
        <f t="shared" ca="1" si="88"/>
        <v>0.17525363068383312</v>
      </c>
      <c r="S164" s="11">
        <f t="shared" ca="1" si="89"/>
        <v>0.51270698805552983</v>
      </c>
      <c r="Z164" s="60">
        <f t="shared" ca="1" si="90"/>
        <v>0.50313167654010782</v>
      </c>
      <c r="AA164" s="60">
        <f t="shared" ca="1" si="91"/>
        <v>-1.2778171722227976</v>
      </c>
      <c r="AB164" s="60">
        <f t="shared" ca="1" si="92"/>
        <v>-0.75660353499587851</v>
      </c>
      <c r="AD164" s="60">
        <v>1</v>
      </c>
      <c r="AE164" s="60">
        <f ca="1">IF(neural_net!Z$12,0,TANH(Z164))</f>
        <v>0.46457648998556889</v>
      </c>
      <c r="AF164" s="60">
        <f ca="1">IF(neural_net!AA$12,0,TANH(AA164))</f>
        <v>-0.85590224842737084</v>
      </c>
      <c r="AG164" s="60">
        <f ca="1">IF(neural_net!AB$12,0,TANH(AB164))</f>
        <v>-0.63907201640031597</v>
      </c>
      <c r="AP164" s="62">
        <f t="shared" ca="1" si="93"/>
        <v>0.51176654562048418</v>
      </c>
      <c r="AQ164" s="62">
        <f t="shared" ca="1" si="94"/>
        <v>0.58973006652745186</v>
      </c>
      <c r="AS164" s="62">
        <v>1</v>
      </c>
      <c r="AT164" s="62">
        <f t="shared" ca="1" si="95"/>
        <v>0.51176654562048418</v>
      </c>
      <c r="AU164" s="62">
        <f t="shared" ca="1" si="96"/>
        <v>0.58973006652745186</v>
      </c>
      <c r="BB164" s="65">
        <f t="shared" ca="1" si="85"/>
        <v>0.13526869472585726</v>
      </c>
      <c r="BD164" s="65">
        <f t="shared" ca="1" si="97"/>
        <v>0.53376570337567053</v>
      </c>
      <c r="BG164" s="183">
        <f t="shared" ca="1" si="98"/>
        <v>0.53376570337567053</v>
      </c>
    </row>
    <row r="165" spans="2:59">
      <c r="B165" s="1">
        <v>150</v>
      </c>
      <c r="C165" s="6">
        <v>8.8543711665022506</v>
      </c>
      <c r="D165" s="6">
        <v>12.5059111576421</v>
      </c>
      <c r="E165" s="6">
        <v>-7.4239291320865464</v>
      </c>
      <c r="F165" s="6">
        <v>-6.0973239927926945</v>
      </c>
      <c r="G165" s="106">
        <f t="shared" si="83"/>
        <v>0.8198392513287629</v>
      </c>
      <c r="N165" s="11">
        <f t="shared" ca="1" si="84"/>
        <v>0.8198392513287629</v>
      </c>
      <c r="O165" s="11">
        <v>1</v>
      </c>
      <c r="P165" s="11">
        <f t="shared" ca="1" si="86"/>
        <v>0.79818448160673316</v>
      </c>
      <c r="Q165" s="11">
        <f t="shared" ca="1" si="87"/>
        <v>0.73261675392731063</v>
      </c>
      <c r="R165" s="11">
        <f t="shared" ca="1" si="88"/>
        <v>0.29565349297386739</v>
      </c>
      <c r="S165" s="11">
        <f t="shared" ca="1" si="89"/>
        <v>0.34851322587775957</v>
      </c>
      <c r="Z165" s="60">
        <f t="shared" ca="1" si="90"/>
        <v>0.62822640749746983</v>
      </c>
      <c r="AA165" s="60">
        <f t="shared" ca="1" si="91"/>
        <v>-1.7762335468210206</v>
      </c>
      <c r="AB165" s="60">
        <f t="shared" ca="1" si="92"/>
        <v>-0.21261264576026043</v>
      </c>
      <c r="AD165" s="60">
        <v>1</v>
      </c>
      <c r="AE165" s="60">
        <f ca="1">IF(neural_net!Z$12,0,TANH(Z165))</f>
        <v>0.55682975060795969</v>
      </c>
      <c r="AF165" s="60">
        <f ca="1">IF(neural_net!AA$12,0,TANH(AA165))</f>
        <v>-0.94428862473493647</v>
      </c>
      <c r="AG165" s="60">
        <f ca="1">IF(neural_net!AB$12,0,TANH(AB165))</f>
        <v>-0.20946587528911831</v>
      </c>
      <c r="AP165" s="62">
        <f t="shared" ca="1" si="93"/>
        <v>0.96405159371353755</v>
      </c>
      <c r="AQ165" s="62">
        <f t="shared" ca="1" si="94"/>
        <v>0.26919912310364691</v>
      </c>
      <c r="AS165" s="62">
        <v>1</v>
      </c>
      <c r="AT165" s="62">
        <f t="shared" ca="1" si="95"/>
        <v>0.96405159371353755</v>
      </c>
      <c r="AU165" s="62">
        <f t="shared" ca="1" si="96"/>
        <v>0.26919912310364691</v>
      </c>
      <c r="BB165" s="65">
        <f t="shared" ca="1" si="85"/>
        <v>-0.13033147048751192</v>
      </c>
      <c r="BD165" s="65">
        <f t="shared" ca="1" si="97"/>
        <v>0.46746317601115289</v>
      </c>
      <c r="BG165" s="183">
        <f t="shared" ca="1" si="98"/>
        <v>0.46746317601115289</v>
      </c>
    </row>
    <row r="167" spans="2:59">
      <c r="C167" s="6">
        <v>8.8290682027824285</v>
      </c>
      <c r="D167" s="6">
        <v>-22.798727410686542</v>
      </c>
      <c r="E167" s="6">
        <v>-27.985862887245339</v>
      </c>
      <c r="F167" s="6">
        <v>10.577512193132634</v>
      </c>
    </row>
  </sheetData>
  <mergeCells count="62">
    <mergeCell ref="B8:E8"/>
    <mergeCell ref="F7:G7"/>
    <mergeCell ref="F8:G8"/>
    <mergeCell ref="I11:L11"/>
    <mergeCell ref="F6:G6"/>
    <mergeCell ref="I6:L6"/>
    <mergeCell ref="B2:E2"/>
    <mergeCell ref="B3:E3"/>
    <mergeCell ref="B4:E4"/>
    <mergeCell ref="B7:E7"/>
    <mergeCell ref="AD6:AG6"/>
    <mergeCell ref="M3:N3"/>
    <mergeCell ref="M2:N2"/>
    <mergeCell ref="F2:G2"/>
    <mergeCell ref="I3:L3"/>
    <mergeCell ref="I2:L2"/>
    <mergeCell ref="I5:L5"/>
    <mergeCell ref="M4:N4"/>
    <mergeCell ref="F3:G3"/>
    <mergeCell ref="F4:G4"/>
    <mergeCell ref="F5:G5"/>
    <mergeCell ref="BB9:BD9"/>
    <mergeCell ref="AP9:AZ9"/>
    <mergeCell ref="AL23:AL26"/>
    <mergeCell ref="M5:N5"/>
    <mergeCell ref="M6:N6"/>
    <mergeCell ref="AM11:AN11"/>
    <mergeCell ref="AY14:AY16"/>
    <mergeCell ref="AD11:AG11"/>
    <mergeCell ref="AP11:AQ11"/>
    <mergeCell ref="AY23:AY25"/>
    <mergeCell ref="AR12:AS12"/>
    <mergeCell ref="AS11:AU11"/>
    <mergeCell ref="AT12:AU12"/>
    <mergeCell ref="AL14:AL17"/>
    <mergeCell ref="AC12:AD12"/>
    <mergeCell ref="AS6:AU6"/>
    <mergeCell ref="U14:U18"/>
    <mergeCell ref="AL35:AL38"/>
    <mergeCell ref="AL47:AL50"/>
    <mergeCell ref="U35:U39"/>
    <mergeCell ref="U29:U33"/>
    <mergeCell ref="U41:U45"/>
    <mergeCell ref="AL29:AL32"/>
    <mergeCell ref="AL41:AL44"/>
    <mergeCell ref="O9:X9"/>
    <mergeCell ref="Z9:AN9"/>
    <mergeCell ref="O11:S11"/>
    <mergeCell ref="V11:X11"/>
    <mergeCell ref="Z11:AB11"/>
    <mergeCell ref="AY53:AY55"/>
    <mergeCell ref="AY59:AY61"/>
    <mergeCell ref="U53:U57"/>
    <mergeCell ref="U23:U27"/>
    <mergeCell ref="U59:U63"/>
    <mergeCell ref="AL53:AL56"/>
    <mergeCell ref="AL59:AL62"/>
    <mergeCell ref="U47:U51"/>
    <mergeCell ref="AY47:AY49"/>
    <mergeCell ref="AY29:AY31"/>
    <mergeCell ref="AY35:AY37"/>
    <mergeCell ref="AY41:AY43"/>
  </mergeCells>
  <conditionalFormatting sqref="B14:G113">
    <cfRule type="expression" dxfId="6" priority="9">
      <formula>COUNTIFS(batch_bool,1,id_shuf,$B14)</formula>
    </cfRule>
  </conditionalFormatting>
  <conditionalFormatting sqref="B116:F165">
    <cfRule type="expression" dxfId="5" priority="4">
      <formula>COUNTIFS(batch_bool,1,id_shuf,$B116)</formula>
    </cfRule>
  </conditionalFormatting>
  <conditionalFormatting sqref="G117:G165">
    <cfRule type="expression" dxfId="4" priority="3">
      <formula>COUNTIFS(batch_bool,1,id_shuf,$B117)</formula>
    </cfRule>
  </conditionalFormatting>
  <conditionalFormatting sqref="C167:F167">
    <cfRule type="expression" dxfId="3" priority="2">
      <formula>COUNTIFS(batch_bool,1,id_shuf,$B167)</formula>
    </cfRule>
  </conditionalFormatting>
  <conditionalFormatting sqref="G116:G165">
    <cfRule type="expression" dxfId="0" priority="1">
      <formula>COUNTIFS(batch_bool,1,id_shuf,$B116)</formula>
    </cfRule>
  </conditionalFormatting>
  <dataValidations count="2">
    <dataValidation type="list" showInputMessage="1" showErrorMessage="1" sqref="BD6:BG6 AD6:AJ6 AS6 AV6:AW6" xr:uid="{20CDDB3C-D71C-B24A-8C64-3F0EFEE39A7A}">
      <formula1>activation_choices</formula1>
    </dataValidation>
    <dataValidation type="list" showInputMessage="1" showErrorMessage="1" sqref="F6" xr:uid="{BF255EC3-80F6-054D-BA8D-32DEA88E7B15}">
      <formula1>optimization_choices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7" r:id="rId3" name="Button 103">
              <controlPr defaultSize="0" print="0" autoFill="0" autoPict="0" macro="[0]!Iterate_once">
                <anchor moveWithCells="1" sizeWithCells="1">
                  <from>
                    <xdr:col>15</xdr:col>
                    <xdr:colOff>0</xdr:colOff>
                    <xdr:row>1</xdr:row>
                    <xdr:rowOff>0</xdr:rowOff>
                  </from>
                  <to>
                    <xdr:col>18</xdr:col>
                    <xdr:colOff>114300</xdr:colOff>
                    <xdr:row>4</xdr:row>
                    <xdr:rowOff>114300</xdr:rowOff>
                  </to>
                </anchor>
              </controlPr>
            </control>
          </mc:Choice>
        </mc:AlternateContent>
        <mc:AlternateContent xmlns:mc="http://schemas.openxmlformats.org/markup-compatibility/2006">
          <mc:Choice Requires="x14">
            <control shapeId="1128" r:id="rId4" name="run_one_epoch">
              <controlPr defaultSize="0" print="0" autoFill="0" autoPict="0" macro="[0]!Iterate_one_epoch" altText="Run one epoch">
                <anchor moveWithCells="1" sizeWithCells="1">
                  <from>
                    <xdr:col>18</xdr:col>
                    <xdr:colOff>393700</xdr:colOff>
                    <xdr:row>0</xdr:row>
                    <xdr:rowOff>177800</xdr:rowOff>
                  </from>
                  <to>
                    <xdr:col>21</xdr:col>
                    <xdr:colOff>558800</xdr:colOff>
                    <xdr:row>4</xdr:row>
                    <xdr:rowOff>101600</xdr:rowOff>
                  </to>
                </anchor>
              </controlPr>
            </control>
          </mc:Choice>
        </mc:AlternateContent>
        <mc:AlternateContent xmlns:mc="http://schemas.openxmlformats.org/markup-compatibility/2006">
          <mc:Choice Requires="x14">
            <control shapeId="1129" r:id="rId5" name="Button 105">
              <controlPr defaultSize="0" print="0" autoFill="0" autoPict="0" macro="[0]!Random_weight_initiation" altText="Run one epoch">
                <anchor moveWithCells="1" sizeWithCells="1">
                  <from>
                    <xdr:col>22</xdr:col>
                    <xdr:colOff>190500</xdr:colOff>
                    <xdr:row>0</xdr:row>
                    <xdr:rowOff>177800</xdr:rowOff>
                  </from>
                  <to>
                    <xdr:col>25</xdr:col>
                    <xdr:colOff>38100</xdr:colOff>
                    <xdr:row>4</xdr:row>
                    <xdr:rowOff>101600</xdr:rowOff>
                  </to>
                </anchor>
              </controlPr>
            </control>
          </mc:Choice>
        </mc:AlternateContent>
        <mc:AlternateContent xmlns:mc="http://schemas.openxmlformats.org/markup-compatibility/2006">
          <mc:Choice Requires="x14">
            <control shapeId="1130" r:id="rId6" name="Button 106">
              <controlPr defaultSize="0" print="0" autoFill="0" autoPict="0" macro="[0]!paste_new_training_data" altText="Run one epoch">
                <anchor moveWithCells="1" sizeWithCells="1">
                  <from>
                    <xdr:col>25</xdr:col>
                    <xdr:colOff>317500</xdr:colOff>
                    <xdr:row>0</xdr:row>
                    <xdr:rowOff>177800</xdr:rowOff>
                  </from>
                  <to>
                    <xdr:col>29</xdr:col>
                    <xdr:colOff>139700</xdr:colOff>
                    <xdr:row>4</xdr:row>
                    <xdr:rowOff>88900</xdr:rowOff>
                  </to>
                </anchor>
              </controlPr>
            </control>
          </mc:Choice>
        </mc:AlternateContent>
        <mc:AlternateContent xmlns:mc="http://schemas.openxmlformats.org/markup-compatibility/2006">
          <mc:Choice Requires="x14">
            <control shapeId="1135" r:id="rId7" name="Button 111">
              <controlPr defaultSize="0" print="0" autoFill="0" autoPict="0" macro="[0]!paste_new_cv_data" altText="Run one epoch">
                <anchor moveWithCells="1" sizeWithCells="1">
                  <from>
                    <xdr:col>30</xdr:col>
                    <xdr:colOff>12700</xdr:colOff>
                    <xdr:row>0</xdr:row>
                    <xdr:rowOff>177800</xdr:rowOff>
                  </from>
                  <to>
                    <xdr:col>33</xdr:col>
                    <xdr:colOff>152400</xdr:colOff>
                    <xdr:row>4</xdr:row>
                    <xdr:rowOff>88900</xdr:rowOff>
                  </to>
                </anchor>
              </controlPr>
            </control>
          </mc:Choice>
        </mc:AlternateContent>
        <mc:AlternateContent xmlns:mc="http://schemas.openxmlformats.org/markup-compatibility/2006">
          <mc:Choice Requires="x14">
            <control shapeId="1141" r:id="rId8" name="Button 117">
              <controlPr defaultSize="0" print="0" autoFill="0" autoPict="0" macro="[0]!Iterate_once_record_weights" altText="Run one epoch">
                <anchor moveWithCells="1" sizeWithCells="1">
                  <from>
                    <xdr:col>33</xdr:col>
                    <xdr:colOff>368300</xdr:colOff>
                    <xdr:row>0</xdr:row>
                    <xdr:rowOff>177800</xdr:rowOff>
                  </from>
                  <to>
                    <xdr:col>37</xdr:col>
                    <xdr:colOff>139700</xdr:colOff>
                    <xdr:row>4</xdr:row>
                    <xdr:rowOff>101600</xdr:rowOff>
                  </to>
                </anchor>
              </controlPr>
            </control>
          </mc:Choice>
        </mc:AlternateContent>
        <mc:AlternateContent xmlns:mc="http://schemas.openxmlformats.org/markup-compatibility/2006">
          <mc:Choice Requires="x14">
            <control shapeId="1143" r:id="rId9" name="Button 119">
              <controlPr defaultSize="0" print="0" autoFill="0" autoPict="0" macro="[0]!Iterate_one_epoch_record_weights" altText="Run one epoch">
                <anchor moveWithCells="1" sizeWithCells="1">
                  <from>
                    <xdr:col>37</xdr:col>
                    <xdr:colOff>431800</xdr:colOff>
                    <xdr:row>0</xdr:row>
                    <xdr:rowOff>177800</xdr:rowOff>
                  </from>
                  <to>
                    <xdr:col>40</xdr:col>
                    <xdr:colOff>38100</xdr:colOff>
                    <xdr:row>4</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51120-1625-9F4E-A575-6C8A0FD9697C}">
  <sheetPr codeName="Sheet5"/>
  <dimension ref="A1:E151"/>
  <sheetViews>
    <sheetView workbookViewId="0"/>
  </sheetViews>
  <sheetFormatPr baseColWidth="10" defaultRowHeight="15"/>
  <cols>
    <col min="2" max="5" width="8.33203125" customWidth="1"/>
  </cols>
  <sheetData>
    <row r="1" spans="1:5" ht="32">
      <c r="A1" s="39" t="s">
        <v>5</v>
      </c>
      <c r="B1" s="2" t="s">
        <v>4</v>
      </c>
      <c r="C1" s="2" t="s">
        <v>3</v>
      </c>
      <c r="D1" s="2" t="s">
        <v>2</v>
      </c>
      <c r="E1" s="2" t="s">
        <v>1</v>
      </c>
    </row>
    <row r="2" spans="1:5">
      <c r="A2" s="107">
        <v>1</v>
      </c>
      <c r="B2" s="106">
        <f ca="1">NORMINV(RAND(),0,10)</f>
        <v>8.1607073613694041</v>
      </c>
      <c r="C2" s="106">
        <f t="shared" ref="C2:E21" ca="1" si="0">NORMINV(RAND(),0,10)</f>
        <v>-13.992855804345396</v>
      </c>
      <c r="D2" s="106">
        <f t="shared" ca="1" si="0"/>
        <v>-8.6446613632625784</v>
      </c>
      <c r="E2" s="106">
        <f t="shared" ca="1" si="0"/>
        <v>-0.88837203412950583</v>
      </c>
    </row>
    <row r="3" spans="1:5">
      <c r="A3" s="107">
        <v>2</v>
      </c>
      <c r="B3" s="106">
        <f t="shared" ref="B3:E22" ca="1" si="1">NORMINV(RAND(),0,10)</f>
        <v>22.018026369351382</v>
      </c>
      <c r="C3" s="106">
        <f t="shared" ca="1" si="0"/>
        <v>-10.50234362397936</v>
      </c>
      <c r="D3" s="106">
        <f t="shared" ca="1" si="0"/>
        <v>7.9349124616126723</v>
      </c>
      <c r="E3" s="106">
        <f t="shared" ca="1" si="0"/>
        <v>6.3850408830954937</v>
      </c>
    </row>
    <row r="4" spans="1:5">
      <c r="A4" s="107">
        <v>3</v>
      </c>
      <c r="B4" s="106">
        <f t="shared" ca="1" si="1"/>
        <v>-0.91566261747623767</v>
      </c>
      <c r="C4" s="106">
        <f t="shared" ca="1" si="0"/>
        <v>1.2367780595922397</v>
      </c>
      <c r="D4" s="106">
        <f t="shared" ca="1" si="0"/>
        <v>6.5993007084900457</v>
      </c>
      <c r="E4" s="106">
        <f t="shared" ca="1" si="0"/>
        <v>-6.7928114960894979</v>
      </c>
    </row>
    <row r="5" spans="1:5">
      <c r="A5" s="107">
        <v>4</v>
      </c>
      <c r="B5" s="106">
        <f t="shared" ca="1" si="1"/>
        <v>7.2480635146724595</v>
      </c>
      <c r="C5" s="106">
        <f t="shared" ca="1" si="0"/>
        <v>-1.8821385534650945</v>
      </c>
      <c r="D5" s="106">
        <f t="shared" ca="1" si="0"/>
        <v>-9.6387427234341452</v>
      </c>
      <c r="E5" s="106">
        <f t="shared" ca="1" si="0"/>
        <v>2.1714063724892494</v>
      </c>
    </row>
    <row r="6" spans="1:5">
      <c r="A6" s="107">
        <v>5</v>
      </c>
      <c r="B6" s="106">
        <f t="shared" ca="1" si="1"/>
        <v>-3.3732058455243035</v>
      </c>
      <c r="C6" s="106">
        <f t="shared" ca="1" si="0"/>
        <v>5.8553997168725385</v>
      </c>
      <c r="D6" s="106">
        <f t="shared" ca="1" si="0"/>
        <v>14.005060667216235</v>
      </c>
      <c r="E6" s="106">
        <f t="shared" ca="1" si="0"/>
        <v>-3.64518729935619</v>
      </c>
    </row>
    <row r="7" spans="1:5">
      <c r="A7" s="107">
        <v>6</v>
      </c>
      <c r="B7" s="106">
        <f t="shared" ca="1" si="1"/>
        <v>3.0135195529248064</v>
      </c>
      <c r="C7" s="106">
        <f t="shared" ca="1" si="0"/>
        <v>-3.0269611861057233</v>
      </c>
      <c r="D7" s="106">
        <f t="shared" ca="1" si="0"/>
        <v>-13.432594951146111</v>
      </c>
      <c r="E7" s="106">
        <f t="shared" ca="1" si="0"/>
        <v>2.8230081218364997</v>
      </c>
    </row>
    <row r="8" spans="1:5">
      <c r="A8" s="107">
        <v>7</v>
      </c>
      <c r="B8" s="106">
        <f t="shared" ca="1" si="1"/>
        <v>-3.3880820019270965</v>
      </c>
      <c r="C8" s="106">
        <f t="shared" ca="1" si="0"/>
        <v>-7.7070111065663669</v>
      </c>
      <c r="D8" s="106">
        <f t="shared" ca="1" si="0"/>
        <v>7.0906374750390375</v>
      </c>
      <c r="E8" s="106">
        <f t="shared" ca="1" si="0"/>
        <v>1.5499588714235639E-2</v>
      </c>
    </row>
    <row r="9" spans="1:5">
      <c r="A9" s="107">
        <v>8</v>
      </c>
      <c r="B9" s="106">
        <f t="shared" ca="1" si="1"/>
        <v>4.0648781926014292</v>
      </c>
      <c r="C9" s="106">
        <f t="shared" ca="1" si="0"/>
        <v>18.476008066278556</v>
      </c>
      <c r="D9" s="106">
        <f t="shared" ca="1" si="0"/>
        <v>-3.9402056038697477</v>
      </c>
      <c r="E9" s="106">
        <f t="shared" ca="1" si="0"/>
        <v>-10.305727697202226</v>
      </c>
    </row>
    <row r="10" spans="1:5">
      <c r="A10" s="107">
        <v>9</v>
      </c>
      <c r="B10" s="106">
        <f t="shared" ca="1" si="1"/>
        <v>9.6963967363943784</v>
      </c>
      <c r="C10" s="106">
        <f t="shared" ca="1" si="0"/>
        <v>-10.907669658132278</v>
      </c>
      <c r="D10" s="106">
        <f t="shared" ca="1" si="0"/>
        <v>3.600903445246959</v>
      </c>
      <c r="E10" s="106">
        <f t="shared" ca="1" si="0"/>
        <v>0.49809590449140773</v>
      </c>
    </row>
    <row r="11" spans="1:5">
      <c r="A11" s="107">
        <v>10</v>
      </c>
      <c r="B11" s="106">
        <f t="shared" ca="1" si="1"/>
        <v>2.3874283806112335</v>
      </c>
      <c r="C11" s="106">
        <f t="shared" ca="1" si="0"/>
        <v>1.3952804204307554</v>
      </c>
      <c r="D11" s="106">
        <f t="shared" ca="1" si="0"/>
        <v>-7.1485005441494103</v>
      </c>
      <c r="E11" s="106">
        <f t="shared" ca="1" si="0"/>
        <v>-3.769197360597599</v>
      </c>
    </row>
    <row r="12" spans="1:5">
      <c r="A12" s="107">
        <v>11</v>
      </c>
      <c r="B12" s="106">
        <f t="shared" ca="1" si="1"/>
        <v>-1.0751094105493417</v>
      </c>
      <c r="C12" s="106">
        <f t="shared" ca="1" si="0"/>
        <v>21.811906698022611</v>
      </c>
      <c r="D12" s="106">
        <f t="shared" ca="1" si="0"/>
        <v>-0.31197562554370328</v>
      </c>
      <c r="E12" s="106">
        <f t="shared" ca="1" si="0"/>
        <v>0.5206971522715681</v>
      </c>
    </row>
    <row r="13" spans="1:5">
      <c r="A13" s="107">
        <v>12</v>
      </c>
      <c r="B13" s="106">
        <f t="shared" ca="1" si="1"/>
        <v>-1.4527000663898524</v>
      </c>
      <c r="C13" s="106">
        <f t="shared" ca="1" si="0"/>
        <v>15.299947503351753</v>
      </c>
      <c r="D13" s="106">
        <f t="shared" ca="1" si="0"/>
        <v>5.5224470660153795</v>
      </c>
      <c r="E13" s="106">
        <f t="shared" ca="1" si="0"/>
        <v>-3.8785733066911057</v>
      </c>
    </row>
    <row r="14" spans="1:5">
      <c r="A14" s="107">
        <v>13</v>
      </c>
      <c r="B14" s="106">
        <f t="shared" ca="1" si="1"/>
        <v>-2.3505828157307205</v>
      </c>
      <c r="C14" s="106">
        <f t="shared" ca="1" si="0"/>
        <v>-5.0644238032774762</v>
      </c>
      <c r="D14" s="106">
        <f t="shared" ca="1" si="0"/>
        <v>3.2317353768976691</v>
      </c>
      <c r="E14" s="106">
        <f t="shared" ca="1" si="0"/>
        <v>17.970349074962421</v>
      </c>
    </row>
    <row r="15" spans="1:5">
      <c r="A15" s="107">
        <v>14</v>
      </c>
      <c r="B15" s="106">
        <f t="shared" ca="1" si="1"/>
        <v>6.3929050358054376</v>
      </c>
      <c r="C15" s="106">
        <f t="shared" ca="1" si="0"/>
        <v>-7.368948427520138</v>
      </c>
      <c r="D15" s="106">
        <f t="shared" ca="1" si="0"/>
        <v>10.065841048953015</v>
      </c>
      <c r="E15" s="106">
        <f t="shared" ca="1" si="0"/>
        <v>-11.606912384812576</v>
      </c>
    </row>
    <row r="16" spans="1:5">
      <c r="A16" s="107">
        <v>15</v>
      </c>
      <c r="B16" s="106">
        <f t="shared" ca="1" si="1"/>
        <v>3.0819051866896867</v>
      </c>
      <c r="C16" s="106">
        <f t="shared" ca="1" si="0"/>
        <v>-11.127615280673549</v>
      </c>
      <c r="D16" s="106">
        <f t="shared" ca="1" si="0"/>
        <v>-1.4737479242558027</v>
      </c>
      <c r="E16" s="106">
        <f t="shared" ca="1" si="0"/>
        <v>-5.3169419489946605</v>
      </c>
    </row>
    <row r="17" spans="1:5">
      <c r="A17" s="107">
        <v>16</v>
      </c>
      <c r="B17" s="106">
        <f t="shared" ca="1" si="1"/>
        <v>3.8438403687740346</v>
      </c>
      <c r="C17" s="106">
        <f t="shared" ca="1" si="0"/>
        <v>-2.4012598456918735</v>
      </c>
      <c r="D17" s="106">
        <f t="shared" ca="1" si="0"/>
        <v>2.1089365871883898</v>
      </c>
      <c r="E17" s="106">
        <f t="shared" ca="1" si="0"/>
        <v>-12.432878393670777</v>
      </c>
    </row>
    <row r="18" spans="1:5">
      <c r="A18" s="107">
        <v>17</v>
      </c>
      <c r="B18" s="106">
        <f t="shared" ca="1" si="1"/>
        <v>5.254127975891838</v>
      </c>
      <c r="C18" s="106">
        <f t="shared" ca="1" si="0"/>
        <v>6.4290417552564278</v>
      </c>
      <c r="D18" s="106">
        <f t="shared" ca="1" si="0"/>
        <v>21.983424480813948</v>
      </c>
      <c r="E18" s="106">
        <f t="shared" ca="1" si="0"/>
        <v>4.0077776751376151</v>
      </c>
    </row>
    <row r="19" spans="1:5">
      <c r="A19" s="107">
        <v>18</v>
      </c>
      <c r="B19" s="106">
        <f t="shared" ca="1" si="1"/>
        <v>21.152111737699329</v>
      </c>
      <c r="C19" s="106">
        <f t="shared" ca="1" si="0"/>
        <v>0.19237657918798673</v>
      </c>
      <c r="D19" s="106">
        <f t="shared" ca="1" si="0"/>
        <v>4.8756410632761007</v>
      </c>
      <c r="E19" s="106">
        <f t="shared" ca="1" si="0"/>
        <v>3.3347296292444764</v>
      </c>
    </row>
    <row r="20" spans="1:5">
      <c r="A20" s="107">
        <v>19</v>
      </c>
      <c r="B20" s="106">
        <f t="shared" ca="1" si="1"/>
        <v>8.6908726347341752</v>
      </c>
      <c r="C20" s="106">
        <f t="shared" ca="1" si="0"/>
        <v>-11.529980647427404</v>
      </c>
      <c r="D20" s="106">
        <f t="shared" ca="1" si="0"/>
        <v>1.279606408994995</v>
      </c>
      <c r="E20" s="106">
        <f t="shared" ca="1" si="0"/>
        <v>-6.9555477890047435</v>
      </c>
    </row>
    <row r="21" spans="1:5">
      <c r="A21" s="107">
        <v>20</v>
      </c>
      <c r="B21" s="106">
        <f t="shared" ca="1" si="1"/>
        <v>6.6350004845163424</v>
      </c>
      <c r="C21" s="106">
        <f t="shared" ca="1" si="0"/>
        <v>-1.430101111295172</v>
      </c>
      <c r="D21" s="106">
        <f t="shared" ca="1" si="0"/>
        <v>8.2006843673374945</v>
      </c>
      <c r="E21" s="106">
        <f t="shared" ca="1" si="0"/>
        <v>-9.7255687850645263</v>
      </c>
    </row>
    <row r="22" spans="1:5">
      <c r="A22" s="107">
        <v>21</v>
      </c>
      <c r="B22" s="106">
        <f t="shared" ca="1" si="1"/>
        <v>-9.7034888953241865</v>
      </c>
      <c r="C22" s="106">
        <f t="shared" ca="1" si="1"/>
        <v>-5.7828343049888549</v>
      </c>
      <c r="D22" s="106">
        <f t="shared" ca="1" si="1"/>
        <v>-0.22824728396588337</v>
      </c>
      <c r="E22" s="106">
        <f t="shared" ca="1" si="1"/>
        <v>-2.3161392027034609</v>
      </c>
    </row>
    <row r="23" spans="1:5">
      <c r="A23" s="107">
        <v>22</v>
      </c>
      <c r="B23" s="106">
        <f t="shared" ref="B23:E42" ca="1" si="2">NORMINV(RAND(),0,10)</f>
        <v>6.4488747453336615</v>
      </c>
      <c r="C23" s="106">
        <f t="shared" ca="1" si="2"/>
        <v>-6.178363220869425</v>
      </c>
      <c r="D23" s="106">
        <f t="shared" ca="1" si="2"/>
        <v>-4.730727291983631</v>
      </c>
      <c r="E23" s="106">
        <f t="shared" ca="1" si="2"/>
        <v>-4.4239858377600179</v>
      </c>
    </row>
    <row r="24" spans="1:5">
      <c r="A24" s="107">
        <v>23</v>
      </c>
      <c r="B24" s="106">
        <f t="shared" ca="1" si="2"/>
        <v>-6.7180169164062642</v>
      </c>
      <c r="C24" s="106">
        <f t="shared" ca="1" si="2"/>
        <v>-6.7209801802994029</v>
      </c>
      <c r="D24" s="106">
        <f t="shared" ca="1" si="2"/>
        <v>3.0753669064143674</v>
      </c>
      <c r="E24" s="106">
        <f t="shared" ca="1" si="2"/>
        <v>-6.1268687704497902</v>
      </c>
    </row>
    <row r="25" spans="1:5">
      <c r="A25" s="107">
        <v>24</v>
      </c>
      <c r="B25" s="106">
        <f t="shared" ca="1" si="2"/>
        <v>5.1259641113490435</v>
      </c>
      <c r="C25" s="106">
        <f t="shared" ca="1" si="2"/>
        <v>-24.875238450671027</v>
      </c>
      <c r="D25" s="106">
        <f t="shared" ca="1" si="2"/>
        <v>2.6020137507242138</v>
      </c>
      <c r="E25" s="106">
        <f t="shared" ca="1" si="2"/>
        <v>18.227916419891578</v>
      </c>
    </row>
    <row r="26" spans="1:5">
      <c r="A26" s="107">
        <v>25</v>
      </c>
      <c r="B26" s="106">
        <f t="shared" ca="1" si="2"/>
        <v>3.3562307803044353</v>
      </c>
      <c r="C26" s="106">
        <f t="shared" ca="1" si="2"/>
        <v>-18.126746636950742</v>
      </c>
      <c r="D26" s="106">
        <f t="shared" ca="1" si="2"/>
        <v>6.3726035509918342</v>
      </c>
      <c r="E26" s="106">
        <f t="shared" ca="1" si="2"/>
        <v>-0.30756941094748907</v>
      </c>
    </row>
    <row r="27" spans="1:5">
      <c r="A27" s="107">
        <v>26</v>
      </c>
      <c r="B27" s="106">
        <f t="shared" ca="1" si="2"/>
        <v>-11.659984127796799</v>
      </c>
      <c r="C27" s="106">
        <f t="shared" ca="1" si="2"/>
        <v>-10.0428364458438</v>
      </c>
      <c r="D27" s="106">
        <f t="shared" ca="1" si="2"/>
        <v>-0.86210186064539174</v>
      </c>
      <c r="E27" s="106">
        <f t="shared" ca="1" si="2"/>
        <v>-7.1335565497937061</v>
      </c>
    </row>
    <row r="28" spans="1:5">
      <c r="A28" s="107">
        <v>27</v>
      </c>
      <c r="B28" s="106">
        <f t="shared" ca="1" si="2"/>
        <v>11.579927995001375</v>
      </c>
      <c r="C28" s="106">
        <f t="shared" ca="1" si="2"/>
        <v>12.051051195984876</v>
      </c>
      <c r="D28" s="106">
        <f t="shared" ca="1" si="2"/>
        <v>-0.61423008824233583</v>
      </c>
      <c r="E28" s="106">
        <f t="shared" ca="1" si="2"/>
        <v>2.140407976974477</v>
      </c>
    </row>
    <row r="29" spans="1:5">
      <c r="A29" s="107">
        <v>28</v>
      </c>
      <c r="B29" s="106">
        <f t="shared" ca="1" si="2"/>
        <v>1.7911344637828777</v>
      </c>
      <c r="C29" s="106">
        <f t="shared" ca="1" si="2"/>
        <v>3.922064108373295</v>
      </c>
      <c r="D29" s="106">
        <f t="shared" ca="1" si="2"/>
        <v>-3.4625202449320307</v>
      </c>
      <c r="E29" s="106">
        <f t="shared" ca="1" si="2"/>
        <v>-3.9219421272027337</v>
      </c>
    </row>
    <row r="30" spans="1:5">
      <c r="A30" s="107">
        <v>29</v>
      </c>
      <c r="B30" s="106">
        <f t="shared" ca="1" si="2"/>
        <v>-7.9809865706168823</v>
      </c>
      <c r="C30" s="106">
        <f t="shared" ca="1" si="2"/>
        <v>11.653020878887139</v>
      </c>
      <c r="D30" s="106">
        <f t="shared" ca="1" si="2"/>
        <v>-1.7725960751396833E-2</v>
      </c>
      <c r="E30" s="106">
        <f t="shared" ca="1" si="2"/>
        <v>-11.80874608692964</v>
      </c>
    </row>
    <row r="31" spans="1:5">
      <c r="A31" s="107">
        <v>30</v>
      </c>
      <c r="B31" s="106">
        <f t="shared" ca="1" si="2"/>
        <v>-11.184651602622381</v>
      </c>
      <c r="C31" s="106">
        <f t="shared" ca="1" si="2"/>
        <v>2.9984282453785265</v>
      </c>
      <c r="D31" s="106">
        <f t="shared" ca="1" si="2"/>
        <v>-8.4523168440621692</v>
      </c>
      <c r="E31" s="106">
        <f t="shared" ca="1" si="2"/>
        <v>9.6860033229111551</v>
      </c>
    </row>
    <row r="32" spans="1:5">
      <c r="A32" s="107">
        <v>31</v>
      </c>
      <c r="B32" s="106">
        <f t="shared" ca="1" si="2"/>
        <v>0.50241584018611629</v>
      </c>
      <c r="C32" s="106">
        <f t="shared" ca="1" si="2"/>
        <v>0.41329575108055577</v>
      </c>
      <c r="D32" s="106">
        <f t="shared" ca="1" si="2"/>
        <v>0.35956639383615879</v>
      </c>
      <c r="E32" s="106">
        <f t="shared" ca="1" si="2"/>
        <v>-6.9422453251579608</v>
      </c>
    </row>
    <row r="33" spans="1:5">
      <c r="A33" s="107">
        <v>32</v>
      </c>
      <c r="B33" s="106">
        <f t="shared" ca="1" si="2"/>
        <v>19.119365267607908</v>
      </c>
      <c r="C33" s="106">
        <f t="shared" ca="1" si="2"/>
        <v>-3.8391767618143415</v>
      </c>
      <c r="D33" s="106">
        <f t="shared" ca="1" si="2"/>
        <v>-32.92892915226912</v>
      </c>
      <c r="E33" s="106">
        <f t="shared" ca="1" si="2"/>
        <v>13.848380478709124</v>
      </c>
    </row>
    <row r="34" spans="1:5">
      <c r="A34" s="107">
        <v>33</v>
      </c>
      <c r="B34" s="106">
        <f t="shared" ca="1" si="2"/>
        <v>4.3733424592905283</v>
      </c>
      <c r="C34" s="106">
        <f t="shared" ca="1" si="2"/>
        <v>-8.3213059384817658</v>
      </c>
      <c r="D34" s="106">
        <f t="shared" ca="1" si="2"/>
        <v>-0.90076199778159727</v>
      </c>
      <c r="E34" s="106">
        <f t="shared" ca="1" si="2"/>
        <v>-20.447802924908174</v>
      </c>
    </row>
    <row r="35" spans="1:5">
      <c r="A35" s="107">
        <v>34</v>
      </c>
      <c r="B35" s="106">
        <f t="shared" ca="1" si="2"/>
        <v>-0.7762898027889662</v>
      </c>
      <c r="C35" s="106">
        <f t="shared" ca="1" si="2"/>
        <v>2.2514678659215335</v>
      </c>
      <c r="D35" s="106">
        <f t="shared" ca="1" si="2"/>
        <v>-2.3042794967983031</v>
      </c>
      <c r="E35" s="106">
        <f t="shared" ca="1" si="2"/>
        <v>-5.5335673314096381</v>
      </c>
    </row>
    <row r="36" spans="1:5">
      <c r="A36" s="107">
        <v>35</v>
      </c>
      <c r="B36" s="106">
        <f t="shared" ca="1" si="2"/>
        <v>9.6024590946413859</v>
      </c>
      <c r="C36" s="106">
        <f t="shared" ca="1" si="2"/>
        <v>-5.7963586378976748</v>
      </c>
      <c r="D36" s="106">
        <f t="shared" ca="1" si="2"/>
        <v>0.92414444869481371</v>
      </c>
      <c r="E36" s="106">
        <f t="shared" ca="1" si="2"/>
        <v>9.2538948340939946</v>
      </c>
    </row>
    <row r="37" spans="1:5">
      <c r="A37" s="107">
        <v>36</v>
      </c>
      <c r="B37" s="106">
        <f t="shared" ca="1" si="2"/>
        <v>-11.067975620477519</v>
      </c>
      <c r="C37" s="106">
        <f t="shared" ca="1" si="2"/>
        <v>-11.39767080365055</v>
      </c>
      <c r="D37" s="106">
        <f t="shared" ca="1" si="2"/>
        <v>-18.892696587735159</v>
      </c>
      <c r="E37" s="106">
        <f t="shared" ca="1" si="2"/>
        <v>0.39080154701407249</v>
      </c>
    </row>
    <row r="38" spans="1:5">
      <c r="A38" s="107">
        <v>37</v>
      </c>
      <c r="B38" s="106">
        <f t="shared" ca="1" si="2"/>
        <v>-18.479316178051413</v>
      </c>
      <c r="C38" s="106">
        <f t="shared" ca="1" si="2"/>
        <v>8.7629529089406137</v>
      </c>
      <c r="D38" s="106">
        <f t="shared" ca="1" si="2"/>
        <v>14.596587890011136</v>
      </c>
      <c r="E38" s="106">
        <f t="shared" ca="1" si="2"/>
        <v>12.607130398489186</v>
      </c>
    </row>
    <row r="39" spans="1:5">
      <c r="A39" s="107">
        <v>38</v>
      </c>
      <c r="B39" s="106">
        <f t="shared" ca="1" si="2"/>
        <v>-1.7672204769287676</v>
      </c>
      <c r="C39" s="106">
        <f t="shared" ca="1" si="2"/>
        <v>-4.0693109730890757</v>
      </c>
      <c r="D39" s="106">
        <f t="shared" ca="1" si="2"/>
        <v>-6.7342433592683895</v>
      </c>
      <c r="E39" s="106">
        <f t="shared" ca="1" si="2"/>
        <v>-5.4684836507101462</v>
      </c>
    </row>
    <row r="40" spans="1:5">
      <c r="A40" s="107">
        <v>39</v>
      </c>
      <c r="B40" s="106">
        <f t="shared" ca="1" si="2"/>
        <v>-12.172348952536012</v>
      </c>
      <c r="C40" s="106">
        <f t="shared" ca="1" si="2"/>
        <v>4.3972184956049158</v>
      </c>
      <c r="D40" s="106">
        <f t="shared" ca="1" si="2"/>
        <v>-4.0169573799841256</v>
      </c>
      <c r="E40" s="106">
        <f t="shared" ca="1" si="2"/>
        <v>-7.1912967638256156</v>
      </c>
    </row>
    <row r="41" spans="1:5">
      <c r="A41" s="107">
        <v>40</v>
      </c>
      <c r="B41" s="106">
        <f t="shared" ca="1" si="2"/>
        <v>18.087699070397875</v>
      </c>
      <c r="C41" s="106">
        <f t="shared" ca="1" si="2"/>
        <v>2.5086993889864035</v>
      </c>
      <c r="D41" s="106">
        <f t="shared" ca="1" si="2"/>
        <v>-9.5573944835643214</v>
      </c>
      <c r="E41" s="106">
        <f t="shared" ca="1" si="2"/>
        <v>8.2650773643607565</v>
      </c>
    </row>
    <row r="42" spans="1:5">
      <c r="A42" s="107">
        <v>41</v>
      </c>
      <c r="B42" s="106">
        <f t="shared" ca="1" si="2"/>
        <v>1.0369623093946003</v>
      </c>
      <c r="C42" s="106">
        <f t="shared" ca="1" si="2"/>
        <v>-3.6522757927437648</v>
      </c>
      <c r="D42" s="106">
        <f t="shared" ca="1" si="2"/>
        <v>21.382365597362401</v>
      </c>
      <c r="E42" s="106">
        <f t="shared" ca="1" si="2"/>
        <v>-8.2605623821306402</v>
      </c>
    </row>
    <row r="43" spans="1:5">
      <c r="A43" s="107">
        <v>42</v>
      </c>
      <c r="B43" s="106">
        <f t="shared" ref="B43:E62" ca="1" si="3">NORMINV(RAND(),0,10)</f>
        <v>-15.626037191529569</v>
      </c>
      <c r="C43" s="106">
        <f t="shared" ca="1" si="3"/>
        <v>7.0635422480607186</v>
      </c>
      <c r="D43" s="106">
        <f t="shared" ca="1" si="3"/>
        <v>-11.485301854843941</v>
      </c>
      <c r="E43" s="106">
        <f t="shared" ca="1" si="3"/>
        <v>8.2036657873521328</v>
      </c>
    </row>
    <row r="44" spans="1:5">
      <c r="A44" s="107">
        <v>43</v>
      </c>
      <c r="B44" s="106">
        <f t="shared" ca="1" si="3"/>
        <v>-10.180855617711844</v>
      </c>
      <c r="C44" s="106">
        <f t="shared" ca="1" si="3"/>
        <v>13.8251391817974</v>
      </c>
      <c r="D44" s="106">
        <f t="shared" ca="1" si="3"/>
        <v>-12.079778377353039</v>
      </c>
      <c r="E44" s="106">
        <f t="shared" ca="1" si="3"/>
        <v>8.8018036794983132</v>
      </c>
    </row>
    <row r="45" spans="1:5">
      <c r="A45" s="107">
        <v>44</v>
      </c>
      <c r="B45" s="106">
        <f t="shared" ca="1" si="3"/>
        <v>-4.5228745047114627</v>
      </c>
      <c r="C45" s="106">
        <f t="shared" ca="1" si="3"/>
        <v>-13.779853277801452</v>
      </c>
      <c r="D45" s="106">
        <f t="shared" ca="1" si="3"/>
        <v>-6.694102241632514</v>
      </c>
      <c r="E45" s="106">
        <f t="shared" ca="1" si="3"/>
        <v>5.7966529655969019</v>
      </c>
    </row>
    <row r="46" spans="1:5">
      <c r="A46" s="107">
        <v>45</v>
      </c>
      <c r="B46" s="106">
        <f t="shared" ca="1" si="3"/>
        <v>4.6438155036611874</v>
      </c>
      <c r="C46" s="106">
        <f t="shared" ca="1" si="3"/>
        <v>21.781970225717572</v>
      </c>
      <c r="D46" s="106">
        <f t="shared" ca="1" si="3"/>
        <v>1.8970695352858382</v>
      </c>
      <c r="E46" s="106">
        <f t="shared" ca="1" si="3"/>
        <v>9.0092209867998303</v>
      </c>
    </row>
    <row r="47" spans="1:5">
      <c r="A47" s="107">
        <v>46</v>
      </c>
      <c r="B47" s="106">
        <f t="shared" ca="1" si="3"/>
        <v>3.1567772780633865</v>
      </c>
      <c r="C47" s="106">
        <f t="shared" ca="1" si="3"/>
        <v>-5.3521385734380553</v>
      </c>
      <c r="D47" s="106">
        <f t="shared" ca="1" si="3"/>
        <v>-3.5084487893538574</v>
      </c>
      <c r="E47" s="106">
        <f t="shared" ca="1" si="3"/>
        <v>17.472958702495816</v>
      </c>
    </row>
    <row r="48" spans="1:5">
      <c r="A48" s="107">
        <v>47</v>
      </c>
      <c r="B48" s="106">
        <f t="shared" ca="1" si="3"/>
        <v>1.9643843562892034</v>
      </c>
      <c r="C48" s="106">
        <f t="shared" ca="1" si="3"/>
        <v>11.075425627472919</v>
      </c>
      <c r="D48" s="106">
        <f t="shared" ca="1" si="3"/>
        <v>5.4976506135408121</v>
      </c>
      <c r="E48" s="106">
        <f t="shared" ca="1" si="3"/>
        <v>-13.621897222031336</v>
      </c>
    </row>
    <row r="49" spans="1:5">
      <c r="A49" s="107">
        <v>48</v>
      </c>
      <c r="B49" s="106">
        <f t="shared" ca="1" si="3"/>
        <v>-4.0683344144892528</v>
      </c>
      <c r="C49" s="106">
        <f t="shared" ca="1" si="3"/>
        <v>-14.258225207690693</v>
      </c>
      <c r="D49" s="106">
        <f t="shared" ca="1" si="3"/>
        <v>-16.609280907881157</v>
      </c>
      <c r="E49" s="106">
        <f t="shared" ca="1" si="3"/>
        <v>-0.68010197718784648</v>
      </c>
    </row>
    <row r="50" spans="1:5">
      <c r="A50" s="107">
        <v>49</v>
      </c>
      <c r="B50" s="106">
        <f t="shared" ca="1" si="3"/>
        <v>7.5485631972658531</v>
      </c>
      <c r="C50" s="106">
        <f t="shared" ca="1" si="3"/>
        <v>14.315471475627337</v>
      </c>
      <c r="D50" s="106">
        <f t="shared" ca="1" si="3"/>
        <v>4.7153164718267853</v>
      </c>
      <c r="E50" s="106">
        <f t="shared" ca="1" si="3"/>
        <v>11.358222796877639</v>
      </c>
    </row>
    <row r="51" spans="1:5">
      <c r="A51" s="107">
        <v>50</v>
      </c>
      <c r="B51" s="106">
        <f t="shared" ca="1" si="3"/>
        <v>-9.3206020216563719</v>
      </c>
      <c r="C51" s="106">
        <f t="shared" ca="1" si="3"/>
        <v>-1.1756081828386091</v>
      </c>
      <c r="D51" s="106">
        <f t="shared" ca="1" si="3"/>
        <v>-6.6112767819560396</v>
      </c>
      <c r="E51" s="106">
        <f t="shared" ca="1" si="3"/>
        <v>1.5394070259688408</v>
      </c>
    </row>
    <row r="52" spans="1:5">
      <c r="A52" s="107">
        <v>51</v>
      </c>
      <c r="B52" s="106">
        <f t="shared" ca="1" si="3"/>
        <v>17.228509437473662</v>
      </c>
      <c r="C52" s="106">
        <f t="shared" ca="1" si="3"/>
        <v>-5.7651449750249961</v>
      </c>
      <c r="D52" s="106">
        <f t="shared" ca="1" si="3"/>
        <v>-13.037701772412543</v>
      </c>
      <c r="E52" s="106">
        <f t="shared" ca="1" si="3"/>
        <v>-2.104189451451405</v>
      </c>
    </row>
    <row r="53" spans="1:5">
      <c r="A53" s="107">
        <v>52</v>
      </c>
      <c r="B53" s="106">
        <f t="shared" ca="1" si="3"/>
        <v>10.910318577346702</v>
      </c>
      <c r="C53" s="106">
        <f t="shared" ca="1" si="3"/>
        <v>-18.567791439669811</v>
      </c>
      <c r="D53" s="106">
        <f t="shared" ca="1" si="3"/>
        <v>5.0158820515745441</v>
      </c>
      <c r="E53" s="106">
        <f t="shared" ca="1" si="3"/>
        <v>-2.7201766276826316</v>
      </c>
    </row>
    <row r="54" spans="1:5">
      <c r="A54" s="107">
        <v>53</v>
      </c>
      <c r="B54" s="106">
        <f t="shared" ca="1" si="3"/>
        <v>-1.42740219486417</v>
      </c>
      <c r="C54" s="106">
        <f t="shared" ca="1" si="3"/>
        <v>1.1841861816034751</v>
      </c>
      <c r="D54" s="106">
        <f t="shared" ca="1" si="3"/>
        <v>13.344755422516155</v>
      </c>
      <c r="E54" s="106">
        <f t="shared" ca="1" si="3"/>
        <v>9.912645535906341</v>
      </c>
    </row>
    <row r="55" spans="1:5">
      <c r="A55" s="107">
        <v>54</v>
      </c>
      <c r="B55" s="106">
        <f t="shared" ca="1" si="3"/>
        <v>3.3897650130539954</v>
      </c>
      <c r="C55" s="106">
        <f t="shared" ca="1" si="3"/>
        <v>-11.587904644378584</v>
      </c>
      <c r="D55" s="106">
        <f t="shared" ca="1" si="3"/>
        <v>1.7412431368897821</v>
      </c>
      <c r="E55" s="106">
        <f t="shared" ca="1" si="3"/>
        <v>7.3562125534001721</v>
      </c>
    </row>
    <row r="56" spans="1:5">
      <c r="A56" s="107">
        <v>55</v>
      </c>
      <c r="B56" s="106">
        <f t="shared" ca="1" si="3"/>
        <v>15.011665883239703</v>
      </c>
      <c r="C56" s="106">
        <f t="shared" ca="1" si="3"/>
        <v>-4.5727682209374363</v>
      </c>
      <c r="D56" s="106">
        <f t="shared" ca="1" si="3"/>
        <v>2.5580382011662945</v>
      </c>
      <c r="E56" s="106">
        <f t="shared" ca="1" si="3"/>
        <v>4.9912979294163815</v>
      </c>
    </row>
    <row r="57" spans="1:5">
      <c r="A57" s="107">
        <v>56</v>
      </c>
      <c r="B57" s="106">
        <f t="shared" ca="1" si="3"/>
        <v>4.0308171438857201</v>
      </c>
      <c r="C57" s="106">
        <f t="shared" ca="1" si="3"/>
        <v>12.568767656321938</v>
      </c>
      <c r="D57" s="106">
        <f t="shared" ca="1" si="3"/>
        <v>1.9695757482571565</v>
      </c>
      <c r="E57" s="106">
        <f t="shared" ca="1" si="3"/>
        <v>6.402715357998181</v>
      </c>
    </row>
    <row r="58" spans="1:5">
      <c r="A58" s="107">
        <v>57</v>
      </c>
      <c r="B58" s="106">
        <f t="shared" ca="1" si="3"/>
        <v>14.633857017949612</v>
      </c>
      <c r="C58" s="106">
        <f t="shared" ca="1" si="3"/>
        <v>6.7125035039751957</v>
      </c>
      <c r="D58" s="106">
        <f t="shared" ca="1" si="3"/>
        <v>14.291338097739141</v>
      </c>
      <c r="E58" s="106">
        <f t="shared" ca="1" si="3"/>
        <v>4.5974017407237087</v>
      </c>
    </row>
    <row r="59" spans="1:5">
      <c r="A59" s="107">
        <v>58</v>
      </c>
      <c r="B59" s="106">
        <f t="shared" ca="1" si="3"/>
        <v>1.8537668413874537</v>
      </c>
      <c r="C59" s="106">
        <f t="shared" ca="1" si="3"/>
        <v>1.9231197803263691</v>
      </c>
      <c r="D59" s="106">
        <f t="shared" ca="1" si="3"/>
        <v>10.389564455271557</v>
      </c>
      <c r="E59" s="106">
        <f t="shared" ca="1" si="3"/>
        <v>-15.381136699328366</v>
      </c>
    </row>
    <row r="60" spans="1:5">
      <c r="A60" s="107">
        <v>59</v>
      </c>
      <c r="B60" s="106">
        <f t="shared" ca="1" si="3"/>
        <v>7.4234683946188165</v>
      </c>
      <c r="C60" s="106">
        <f t="shared" ca="1" si="3"/>
        <v>9.0810284718252952</v>
      </c>
      <c r="D60" s="106">
        <f t="shared" ca="1" si="3"/>
        <v>2.4999634138489339</v>
      </c>
      <c r="E60" s="106">
        <f t="shared" ca="1" si="3"/>
        <v>11.436962938744044</v>
      </c>
    </row>
    <row r="61" spans="1:5">
      <c r="A61" s="107">
        <v>60</v>
      </c>
      <c r="B61" s="106">
        <f t="shared" ca="1" si="3"/>
        <v>-1.5539292846716701</v>
      </c>
      <c r="C61" s="106">
        <f t="shared" ca="1" si="3"/>
        <v>-1.101938193055001</v>
      </c>
      <c r="D61" s="106">
        <f t="shared" ca="1" si="3"/>
        <v>9.9311378054825088</v>
      </c>
      <c r="E61" s="106">
        <f t="shared" ca="1" si="3"/>
        <v>-16.286076471788867</v>
      </c>
    </row>
    <row r="62" spans="1:5">
      <c r="A62" s="107">
        <v>61</v>
      </c>
      <c r="B62" s="106">
        <f t="shared" ca="1" si="3"/>
        <v>16.193626288885003</v>
      </c>
      <c r="C62" s="106">
        <f t="shared" ca="1" si="3"/>
        <v>22.137064539653963</v>
      </c>
      <c r="D62" s="106">
        <f t="shared" ca="1" si="3"/>
        <v>-16.050455289624569</v>
      </c>
      <c r="E62" s="106">
        <f t="shared" ca="1" si="3"/>
        <v>-7.1525741815382657</v>
      </c>
    </row>
    <row r="63" spans="1:5">
      <c r="A63" s="107">
        <v>62</v>
      </c>
      <c r="B63" s="106">
        <f t="shared" ref="B63:E82" ca="1" si="4">NORMINV(RAND(),0,10)</f>
        <v>6.9957988282678976</v>
      </c>
      <c r="C63" s="106">
        <f t="shared" ca="1" si="4"/>
        <v>-14.345360617300049</v>
      </c>
      <c r="D63" s="106">
        <f t="shared" ca="1" si="4"/>
        <v>4.0045653517521966</v>
      </c>
      <c r="E63" s="106">
        <f t="shared" ca="1" si="4"/>
        <v>28.289253531025235</v>
      </c>
    </row>
    <row r="64" spans="1:5">
      <c r="A64" s="107">
        <v>63</v>
      </c>
      <c r="B64" s="106">
        <f t="shared" ca="1" si="4"/>
        <v>10.592395332830804</v>
      </c>
      <c r="C64" s="106">
        <f t="shared" ca="1" si="4"/>
        <v>12.23491959820554</v>
      </c>
      <c r="D64" s="106">
        <f t="shared" ca="1" si="4"/>
        <v>13.266806909829752</v>
      </c>
      <c r="E64" s="106">
        <f t="shared" ca="1" si="4"/>
        <v>5.5705033133835595</v>
      </c>
    </row>
    <row r="65" spans="1:5">
      <c r="A65" s="107">
        <v>64</v>
      </c>
      <c r="B65" s="106">
        <f t="shared" ca="1" si="4"/>
        <v>23.564158344544381</v>
      </c>
      <c r="C65" s="106">
        <f t="shared" ca="1" si="4"/>
        <v>-10.679924825483686</v>
      </c>
      <c r="D65" s="106">
        <f t="shared" ca="1" si="4"/>
        <v>-11.046625042818958</v>
      </c>
      <c r="E65" s="106">
        <f t="shared" ca="1" si="4"/>
        <v>-6.2029839070833077</v>
      </c>
    </row>
    <row r="66" spans="1:5">
      <c r="A66" s="107">
        <v>65</v>
      </c>
      <c r="B66" s="106">
        <f t="shared" ca="1" si="4"/>
        <v>10.308840832311951</v>
      </c>
      <c r="C66" s="106">
        <f t="shared" ca="1" si="4"/>
        <v>8.1179248784938256</v>
      </c>
      <c r="D66" s="106">
        <f t="shared" ca="1" si="4"/>
        <v>-15.835687242447154</v>
      </c>
      <c r="E66" s="106">
        <f t="shared" ca="1" si="4"/>
        <v>-12.476021925006581</v>
      </c>
    </row>
    <row r="67" spans="1:5">
      <c r="A67" s="107">
        <v>66</v>
      </c>
      <c r="B67" s="106">
        <f t="shared" ca="1" si="4"/>
        <v>-12.960439140087365</v>
      </c>
      <c r="C67" s="106">
        <f t="shared" ca="1" si="4"/>
        <v>8.1778544141530141</v>
      </c>
      <c r="D67" s="106">
        <f t="shared" ca="1" si="4"/>
        <v>1.0776584083858869</v>
      </c>
      <c r="E67" s="106">
        <f t="shared" ca="1" si="4"/>
        <v>-2.9573059269430537</v>
      </c>
    </row>
    <row r="68" spans="1:5">
      <c r="A68" s="107">
        <v>67</v>
      </c>
      <c r="B68" s="106">
        <f t="shared" ca="1" si="4"/>
        <v>-2.3909993765930535</v>
      </c>
      <c r="C68" s="106">
        <f t="shared" ca="1" si="4"/>
        <v>1.1776872720291238</v>
      </c>
      <c r="D68" s="106">
        <f t="shared" ca="1" si="4"/>
        <v>17.967785846324094</v>
      </c>
      <c r="E68" s="106">
        <f t="shared" ca="1" si="4"/>
        <v>-4.4292804024481054</v>
      </c>
    </row>
    <row r="69" spans="1:5">
      <c r="A69" s="107">
        <v>68</v>
      </c>
      <c r="B69" s="106">
        <f t="shared" ca="1" si="4"/>
        <v>8.6909649562529339</v>
      </c>
      <c r="C69" s="106">
        <f t="shared" ca="1" si="4"/>
        <v>-0.18016756966939859</v>
      </c>
      <c r="D69" s="106">
        <f t="shared" ca="1" si="4"/>
        <v>5.9702916831050459</v>
      </c>
      <c r="E69" s="106">
        <f t="shared" ca="1" si="4"/>
        <v>10.578637253492168</v>
      </c>
    </row>
    <row r="70" spans="1:5">
      <c r="A70" s="107">
        <v>69</v>
      </c>
      <c r="B70" s="106">
        <f t="shared" ca="1" si="4"/>
        <v>5.2182873714485609</v>
      </c>
      <c r="C70" s="106">
        <f t="shared" ca="1" si="4"/>
        <v>4.6105801865466853</v>
      </c>
      <c r="D70" s="106">
        <f t="shared" ca="1" si="4"/>
        <v>-5.8444123226821096</v>
      </c>
      <c r="E70" s="106">
        <f t="shared" ca="1" si="4"/>
        <v>-9.1755921887734821</v>
      </c>
    </row>
    <row r="71" spans="1:5">
      <c r="A71" s="107">
        <v>70</v>
      </c>
      <c r="B71" s="106">
        <f t="shared" ca="1" si="4"/>
        <v>7.5925660347846824</v>
      </c>
      <c r="C71" s="106">
        <f t="shared" ca="1" si="4"/>
        <v>-0.95655942407020267</v>
      </c>
      <c r="D71" s="106">
        <f t="shared" ca="1" si="4"/>
        <v>13.538249377839371</v>
      </c>
      <c r="E71" s="106">
        <f t="shared" ca="1" si="4"/>
        <v>9.5430750380082188</v>
      </c>
    </row>
    <row r="72" spans="1:5">
      <c r="A72" s="107">
        <v>71</v>
      </c>
      <c r="B72" s="106">
        <f t="shared" ca="1" si="4"/>
        <v>-16.706221257581586</v>
      </c>
      <c r="C72" s="106">
        <f t="shared" ca="1" si="4"/>
        <v>-11.297808566335707</v>
      </c>
      <c r="D72" s="106">
        <f t="shared" ca="1" si="4"/>
        <v>-18.52104647022211</v>
      </c>
      <c r="E72" s="106">
        <f t="shared" ca="1" si="4"/>
        <v>7.9756861116349071</v>
      </c>
    </row>
    <row r="73" spans="1:5">
      <c r="A73" s="107">
        <v>72</v>
      </c>
      <c r="B73" s="106">
        <f t="shared" ca="1" si="4"/>
        <v>-10.784387550671877</v>
      </c>
      <c r="C73" s="106">
        <f t="shared" ca="1" si="4"/>
        <v>-4.1211429216104181</v>
      </c>
      <c r="D73" s="106">
        <f t="shared" ca="1" si="4"/>
        <v>-3.3703030447229065</v>
      </c>
      <c r="E73" s="106">
        <f t="shared" ca="1" si="4"/>
        <v>2.316453688726074</v>
      </c>
    </row>
    <row r="74" spans="1:5">
      <c r="A74" s="107">
        <v>73</v>
      </c>
      <c r="B74" s="106">
        <f t="shared" ca="1" si="4"/>
        <v>-3.7928484453290983</v>
      </c>
      <c r="C74" s="106">
        <f t="shared" ca="1" si="4"/>
        <v>-5.010035105681748</v>
      </c>
      <c r="D74" s="106">
        <f t="shared" ca="1" si="4"/>
        <v>12.021625407722631</v>
      </c>
      <c r="E74" s="106">
        <f t="shared" ca="1" si="4"/>
        <v>1.5183622544472375</v>
      </c>
    </row>
    <row r="75" spans="1:5">
      <c r="A75" s="107">
        <v>74</v>
      </c>
      <c r="B75" s="106">
        <f t="shared" ca="1" si="4"/>
        <v>-4.8930689818686348</v>
      </c>
      <c r="C75" s="106">
        <f t="shared" ca="1" si="4"/>
        <v>-5.0811070951283055</v>
      </c>
      <c r="D75" s="106">
        <f t="shared" ca="1" si="4"/>
        <v>-4.5546154193200277</v>
      </c>
      <c r="E75" s="106">
        <f t="shared" ca="1" si="4"/>
        <v>12.805997052311231</v>
      </c>
    </row>
    <row r="76" spans="1:5">
      <c r="A76" s="107">
        <v>75</v>
      </c>
      <c r="B76" s="106">
        <f t="shared" ca="1" si="4"/>
        <v>-3.2958164864939059</v>
      </c>
      <c r="C76" s="106">
        <f t="shared" ca="1" si="4"/>
        <v>-2.9444789271170011</v>
      </c>
      <c r="D76" s="106">
        <f t="shared" ca="1" si="4"/>
        <v>-7.6484007593394088</v>
      </c>
      <c r="E76" s="106">
        <f t="shared" ca="1" si="4"/>
        <v>18.670831381743934</v>
      </c>
    </row>
    <row r="77" spans="1:5">
      <c r="A77" s="107">
        <v>76</v>
      </c>
      <c r="B77" s="106">
        <f t="shared" ca="1" si="4"/>
        <v>4.2350237788943703</v>
      </c>
      <c r="C77" s="106">
        <f t="shared" ca="1" si="4"/>
        <v>9.473885793000731</v>
      </c>
      <c r="D77" s="106">
        <f t="shared" ca="1" si="4"/>
        <v>-9.0065082748762304</v>
      </c>
      <c r="E77" s="106">
        <f t="shared" ca="1" si="4"/>
        <v>9.8753136251490563</v>
      </c>
    </row>
    <row r="78" spans="1:5">
      <c r="A78" s="107">
        <v>77</v>
      </c>
      <c r="B78" s="106">
        <f t="shared" ca="1" si="4"/>
        <v>4.280041937310088</v>
      </c>
      <c r="C78" s="106">
        <f t="shared" ca="1" si="4"/>
        <v>0.15212315514471558</v>
      </c>
      <c r="D78" s="106">
        <f t="shared" ca="1" si="4"/>
        <v>-9.2253256767271807</v>
      </c>
      <c r="E78" s="106">
        <f t="shared" ca="1" si="4"/>
        <v>2.0830312760721972</v>
      </c>
    </row>
    <row r="79" spans="1:5">
      <c r="A79" s="107">
        <v>78</v>
      </c>
      <c r="B79" s="106">
        <f t="shared" ca="1" si="4"/>
        <v>5.9126904941413985</v>
      </c>
      <c r="C79" s="106">
        <f t="shared" ca="1" si="4"/>
        <v>14.806593362841641</v>
      </c>
      <c r="D79" s="106">
        <f t="shared" ca="1" si="4"/>
        <v>8.8159626499365036</v>
      </c>
      <c r="E79" s="106">
        <f t="shared" ca="1" si="4"/>
        <v>-8.6985804049124695</v>
      </c>
    </row>
    <row r="80" spans="1:5">
      <c r="A80" s="107">
        <v>79</v>
      </c>
      <c r="B80" s="106">
        <f t="shared" ca="1" si="4"/>
        <v>-12.919107495494258</v>
      </c>
      <c r="C80" s="106">
        <f t="shared" ca="1" si="4"/>
        <v>2.5703939750841371</v>
      </c>
      <c r="D80" s="106">
        <f t="shared" ca="1" si="4"/>
        <v>0.27885317663350945</v>
      </c>
      <c r="E80" s="106">
        <f t="shared" ca="1" si="4"/>
        <v>10.049792513179337</v>
      </c>
    </row>
    <row r="81" spans="1:5">
      <c r="A81" s="107">
        <v>80</v>
      </c>
      <c r="B81" s="106">
        <f t="shared" ca="1" si="4"/>
        <v>-8.3025843440006248</v>
      </c>
      <c r="C81" s="106">
        <f t="shared" ca="1" si="4"/>
        <v>-17.033755537810094</v>
      </c>
      <c r="D81" s="106">
        <f t="shared" ca="1" si="4"/>
        <v>-0.19648096152650338</v>
      </c>
      <c r="E81" s="106">
        <f t="shared" ca="1" si="4"/>
        <v>-1.4315001542674075</v>
      </c>
    </row>
    <row r="82" spans="1:5">
      <c r="A82" s="107">
        <v>81</v>
      </c>
      <c r="B82" s="106">
        <f t="shared" ca="1" si="4"/>
        <v>-17.510498889787169</v>
      </c>
      <c r="C82" s="106">
        <f t="shared" ca="1" si="4"/>
        <v>-11.432249269947668</v>
      </c>
      <c r="D82" s="106">
        <f t="shared" ca="1" si="4"/>
        <v>-6.5572615826489136</v>
      </c>
      <c r="E82" s="106">
        <f t="shared" ca="1" si="4"/>
        <v>-2.6791923523543524</v>
      </c>
    </row>
    <row r="83" spans="1:5">
      <c r="A83" s="107">
        <v>82</v>
      </c>
      <c r="B83" s="106">
        <f t="shared" ref="B83:E101" ca="1" si="5">NORMINV(RAND(),0,10)</f>
        <v>-20.927550548129336</v>
      </c>
      <c r="C83" s="106">
        <f t="shared" ca="1" si="5"/>
        <v>2.3411369913359992</v>
      </c>
      <c r="D83" s="106">
        <f t="shared" ca="1" si="5"/>
        <v>6.5620955842527646</v>
      </c>
      <c r="E83" s="106">
        <f t="shared" ca="1" si="5"/>
        <v>-8.2406181863340038</v>
      </c>
    </row>
    <row r="84" spans="1:5">
      <c r="A84" s="107">
        <v>83</v>
      </c>
      <c r="B84" s="106">
        <f t="shared" ca="1" si="5"/>
        <v>10.167029798603329</v>
      </c>
      <c r="C84" s="106">
        <f t="shared" ca="1" si="5"/>
        <v>0.42607071368205174</v>
      </c>
      <c r="D84" s="106">
        <f t="shared" ca="1" si="5"/>
        <v>-5.9691054166735391</v>
      </c>
      <c r="E84" s="106">
        <f t="shared" ca="1" si="5"/>
        <v>2.6885827606606076</v>
      </c>
    </row>
    <row r="85" spans="1:5">
      <c r="A85" s="107">
        <v>84</v>
      </c>
      <c r="B85" s="106">
        <f t="shared" ca="1" si="5"/>
        <v>-1.5136723485378756</v>
      </c>
      <c r="C85" s="106">
        <f t="shared" ca="1" si="5"/>
        <v>6.0125657648777135</v>
      </c>
      <c r="D85" s="106">
        <f t="shared" ca="1" si="5"/>
        <v>2.4279929845395465</v>
      </c>
      <c r="E85" s="106">
        <f t="shared" ca="1" si="5"/>
        <v>20.951139087619168</v>
      </c>
    </row>
    <row r="86" spans="1:5">
      <c r="A86" s="107">
        <v>85</v>
      </c>
      <c r="B86" s="106">
        <f t="shared" ca="1" si="5"/>
        <v>13.243721112023721</v>
      </c>
      <c r="C86" s="106">
        <f t="shared" ca="1" si="5"/>
        <v>6.6700772233058743</v>
      </c>
      <c r="D86" s="106">
        <f t="shared" ca="1" si="5"/>
        <v>0.45467490095063101</v>
      </c>
      <c r="E86" s="106">
        <f t="shared" ca="1" si="5"/>
        <v>-3.6117722651434403</v>
      </c>
    </row>
    <row r="87" spans="1:5">
      <c r="A87" s="107">
        <v>86</v>
      </c>
      <c r="B87" s="106">
        <f t="shared" ca="1" si="5"/>
        <v>-10.876314862013107</v>
      </c>
      <c r="C87" s="106">
        <f t="shared" ca="1" si="5"/>
        <v>2.0694145733512053</v>
      </c>
      <c r="D87" s="106">
        <f t="shared" ca="1" si="5"/>
        <v>12.93605466600221</v>
      </c>
      <c r="E87" s="106">
        <f t="shared" ca="1" si="5"/>
        <v>-12.422760176360736</v>
      </c>
    </row>
    <row r="88" spans="1:5">
      <c r="A88" s="107">
        <v>87</v>
      </c>
      <c r="B88" s="106">
        <f t="shared" ca="1" si="5"/>
        <v>-2.4646510913814104</v>
      </c>
      <c r="C88" s="106">
        <f t="shared" ca="1" si="5"/>
        <v>14.530400906358732</v>
      </c>
      <c r="D88" s="106">
        <f t="shared" ca="1" si="5"/>
        <v>6.5924504118451974</v>
      </c>
      <c r="E88" s="106">
        <f t="shared" ca="1" si="5"/>
        <v>-3.2756198078741421</v>
      </c>
    </row>
    <row r="89" spans="1:5">
      <c r="A89" s="107">
        <v>88</v>
      </c>
      <c r="B89" s="106">
        <f t="shared" ca="1" si="5"/>
        <v>-2.1000600682056283</v>
      </c>
      <c r="C89" s="106">
        <f t="shared" ca="1" si="5"/>
        <v>10.345219088297881</v>
      </c>
      <c r="D89" s="106">
        <f t="shared" ca="1" si="5"/>
        <v>-5.5760179590343046</v>
      </c>
      <c r="E89" s="106">
        <f t="shared" ca="1" si="5"/>
        <v>4.6912462085999138</v>
      </c>
    </row>
    <row r="90" spans="1:5">
      <c r="A90" s="107">
        <v>89</v>
      </c>
      <c r="B90" s="106">
        <f t="shared" ca="1" si="5"/>
        <v>9.9535641130716872</v>
      </c>
      <c r="C90" s="106">
        <f t="shared" ca="1" si="5"/>
        <v>3.2027941500440598</v>
      </c>
      <c r="D90" s="106">
        <f t="shared" ca="1" si="5"/>
        <v>5.1784566278700392</v>
      </c>
      <c r="E90" s="106">
        <f t="shared" ca="1" si="5"/>
        <v>1.4962063084050037</v>
      </c>
    </row>
    <row r="91" spans="1:5">
      <c r="A91" s="107">
        <v>90</v>
      </c>
      <c r="B91" s="106">
        <f t="shared" ca="1" si="5"/>
        <v>-5.784164120668418</v>
      </c>
      <c r="C91" s="106">
        <f t="shared" ca="1" si="5"/>
        <v>5.3116908066794704</v>
      </c>
      <c r="D91" s="106">
        <f t="shared" ca="1" si="5"/>
        <v>8.1435114381047864</v>
      </c>
      <c r="E91" s="106">
        <f t="shared" ca="1" si="5"/>
        <v>7.6003025432170368</v>
      </c>
    </row>
    <row r="92" spans="1:5">
      <c r="A92" s="107">
        <v>91</v>
      </c>
      <c r="B92" s="106">
        <f t="shared" ca="1" si="5"/>
        <v>10.106942399979426</v>
      </c>
      <c r="C92" s="106">
        <f t="shared" ca="1" si="5"/>
        <v>-2.7259562836753544</v>
      </c>
      <c r="D92" s="106">
        <f t="shared" ca="1" si="5"/>
        <v>-12.848124799130453</v>
      </c>
      <c r="E92" s="106">
        <f t="shared" ca="1" si="5"/>
        <v>-14.267240717567372</v>
      </c>
    </row>
    <row r="93" spans="1:5">
      <c r="A93" s="107">
        <v>92</v>
      </c>
      <c r="B93" s="106">
        <f t="shared" ca="1" si="5"/>
        <v>-10.554233591329103</v>
      </c>
      <c r="C93" s="106">
        <f t="shared" ca="1" si="5"/>
        <v>-9.0823051296463628</v>
      </c>
      <c r="D93" s="106">
        <f t="shared" ca="1" si="5"/>
        <v>7.8945537763899374</v>
      </c>
      <c r="E93" s="106">
        <f t="shared" ca="1" si="5"/>
        <v>-6.6813773966842218</v>
      </c>
    </row>
    <row r="94" spans="1:5">
      <c r="A94" s="107">
        <v>93</v>
      </c>
      <c r="B94" s="106">
        <f t="shared" ca="1" si="5"/>
        <v>14.84747929686317</v>
      </c>
      <c r="C94" s="106">
        <f t="shared" ca="1" si="5"/>
        <v>10.4758600466369</v>
      </c>
      <c r="D94" s="106">
        <f t="shared" ca="1" si="5"/>
        <v>6.5942980839328929</v>
      </c>
      <c r="E94" s="106">
        <f t="shared" ca="1" si="5"/>
        <v>-2.899618740024708</v>
      </c>
    </row>
    <row r="95" spans="1:5">
      <c r="A95" s="107">
        <v>94</v>
      </c>
      <c r="B95" s="106">
        <f t="shared" ca="1" si="5"/>
        <v>2.736884441319456</v>
      </c>
      <c r="C95" s="106">
        <f t="shared" ca="1" si="5"/>
        <v>7.4565015808637893</v>
      </c>
      <c r="D95" s="106">
        <f t="shared" ca="1" si="5"/>
        <v>-2.9125273753271679</v>
      </c>
      <c r="E95" s="106">
        <f t="shared" ca="1" si="5"/>
        <v>16.731751497280936</v>
      </c>
    </row>
    <row r="96" spans="1:5">
      <c r="A96" s="107">
        <v>95</v>
      </c>
      <c r="B96" s="106">
        <f t="shared" ca="1" si="5"/>
        <v>26.356648970067852</v>
      </c>
      <c r="C96" s="106">
        <f t="shared" ca="1" si="5"/>
        <v>1.2559883470330055</v>
      </c>
      <c r="D96" s="106">
        <f t="shared" ca="1" si="5"/>
        <v>-13.997991516287872</v>
      </c>
      <c r="E96" s="106">
        <f t="shared" ca="1" si="5"/>
        <v>-1.3997523719907947</v>
      </c>
    </row>
    <row r="97" spans="1:5">
      <c r="A97" s="107">
        <v>96</v>
      </c>
      <c r="B97" s="106">
        <f t="shared" ca="1" si="5"/>
        <v>5.6014585161725137</v>
      </c>
      <c r="C97" s="106">
        <f t="shared" ca="1" si="5"/>
        <v>0.50864506890947769</v>
      </c>
      <c r="D97" s="106">
        <f t="shared" ca="1" si="5"/>
        <v>26.871975051163062</v>
      </c>
      <c r="E97" s="106">
        <f t="shared" ca="1" si="5"/>
        <v>-8.6903235088074844</v>
      </c>
    </row>
    <row r="98" spans="1:5">
      <c r="A98" s="107">
        <v>97</v>
      </c>
      <c r="B98" s="106">
        <f t="shared" ca="1" si="5"/>
        <v>-17.68298913307531</v>
      </c>
      <c r="C98" s="106">
        <f t="shared" ca="1" si="5"/>
        <v>-5.5231866964830845</v>
      </c>
      <c r="D98" s="106">
        <f t="shared" ca="1" si="5"/>
        <v>-9.0860281684793378</v>
      </c>
      <c r="E98" s="106">
        <f t="shared" ca="1" si="5"/>
        <v>-1.0420106991104685</v>
      </c>
    </row>
    <row r="99" spans="1:5">
      <c r="A99" s="107">
        <v>98</v>
      </c>
      <c r="B99" s="106">
        <f t="shared" ca="1" si="5"/>
        <v>-1.8604684583463444</v>
      </c>
      <c r="C99" s="106">
        <f t="shared" ca="1" si="5"/>
        <v>8.7885521793047321</v>
      </c>
      <c r="D99" s="106">
        <f t="shared" ca="1" si="5"/>
        <v>8.4788190136559809</v>
      </c>
      <c r="E99" s="106">
        <f t="shared" ca="1" si="5"/>
        <v>-5.4519181324871706</v>
      </c>
    </row>
    <row r="100" spans="1:5">
      <c r="A100" s="107">
        <v>99</v>
      </c>
      <c r="B100" s="106">
        <f t="shared" ca="1" si="5"/>
        <v>0.73106960225752038</v>
      </c>
      <c r="C100" s="106">
        <f t="shared" ca="1" si="5"/>
        <v>-19.910209006852849</v>
      </c>
      <c r="D100" s="106">
        <f t="shared" ca="1" si="5"/>
        <v>21.53700157283993</v>
      </c>
      <c r="E100" s="106">
        <f t="shared" ca="1" si="5"/>
        <v>10.895241140659257</v>
      </c>
    </row>
    <row r="101" spans="1:5">
      <c r="A101" s="107">
        <v>100</v>
      </c>
      <c r="B101" s="106">
        <f t="shared" ca="1" si="5"/>
        <v>10.220317720662575</v>
      </c>
      <c r="C101" s="106">
        <f t="shared" ca="1" si="5"/>
        <v>-0.12398063505192308</v>
      </c>
      <c r="D101" s="106">
        <f t="shared" ca="1" si="5"/>
        <v>-2.0380419499763636</v>
      </c>
      <c r="E101" s="106">
        <f t="shared" ca="1" si="5"/>
        <v>-8.0431701679252914</v>
      </c>
    </row>
    <row r="102" spans="1:5">
      <c r="A102" s="107">
        <v>101</v>
      </c>
      <c r="B102" s="106">
        <f t="shared" ref="B102:E150" ca="1" si="6">NORMINV(RAND(),0,10)</f>
        <v>18.682212238558563</v>
      </c>
      <c r="C102" s="106">
        <f t="shared" ca="1" si="6"/>
        <v>4.3085226187749761</v>
      </c>
      <c r="D102" s="106">
        <f t="shared" ca="1" si="6"/>
        <v>0.69111676771731079</v>
      </c>
      <c r="E102" s="106">
        <f t="shared" ca="1" si="6"/>
        <v>4.3825381999257571</v>
      </c>
    </row>
    <row r="103" spans="1:5">
      <c r="A103" s="107">
        <v>102</v>
      </c>
      <c r="B103" s="106">
        <f t="shared" ca="1" si="6"/>
        <v>-4.0867964519776949</v>
      </c>
      <c r="C103" s="106">
        <f t="shared" ca="1" si="6"/>
        <v>11.566730536229318</v>
      </c>
      <c r="D103" s="106">
        <f t="shared" ca="1" si="6"/>
        <v>-5.9566883069979371</v>
      </c>
      <c r="E103" s="106">
        <f t="shared" ca="1" si="6"/>
        <v>-1.5287897016217233</v>
      </c>
    </row>
    <row r="104" spans="1:5">
      <c r="A104" s="107">
        <v>103</v>
      </c>
      <c r="B104" s="106">
        <f t="shared" ca="1" si="6"/>
        <v>-1.4556187105983878</v>
      </c>
      <c r="C104" s="106">
        <f t="shared" ca="1" si="6"/>
        <v>-1.4261558201162687</v>
      </c>
      <c r="D104" s="106">
        <f t="shared" ca="1" si="6"/>
        <v>1.1768013673740563</v>
      </c>
      <c r="E104" s="106">
        <f t="shared" ca="1" si="6"/>
        <v>-20.347827372940849</v>
      </c>
    </row>
    <row r="105" spans="1:5">
      <c r="A105" s="107">
        <v>104</v>
      </c>
      <c r="B105" s="106">
        <f t="shared" ca="1" si="6"/>
        <v>3.0362223935616828</v>
      </c>
      <c r="C105" s="106">
        <f t="shared" ca="1" si="6"/>
        <v>-1.2706845500144484</v>
      </c>
      <c r="D105" s="106">
        <f t="shared" ca="1" si="6"/>
        <v>-5.8043328211551355</v>
      </c>
      <c r="E105" s="106">
        <f t="shared" ca="1" si="6"/>
        <v>2.1899567737385008</v>
      </c>
    </row>
    <row r="106" spans="1:5">
      <c r="A106" s="107">
        <v>105</v>
      </c>
      <c r="B106" s="106">
        <f t="shared" ca="1" si="6"/>
        <v>-6.2253791225583965</v>
      </c>
      <c r="C106" s="106">
        <f t="shared" ca="1" si="6"/>
        <v>7.5465363907063701</v>
      </c>
      <c r="D106" s="106">
        <f t="shared" ca="1" si="6"/>
        <v>-17.291113485244367</v>
      </c>
      <c r="E106" s="106">
        <f t="shared" ca="1" si="6"/>
        <v>-15.766367255483058</v>
      </c>
    </row>
    <row r="107" spans="1:5">
      <c r="A107" s="107">
        <v>106</v>
      </c>
      <c r="B107" s="106">
        <f t="shared" ca="1" si="6"/>
        <v>-8.1722711254147438</v>
      </c>
      <c r="C107" s="106">
        <f t="shared" ca="1" si="6"/>
        <v>3.2252307373585101</v>
      </c>
      <c r="D107" s="106">
        <f t="shared" ca="1" si="6"/>
        <v>-2.430023643210943</v>
      </c>
      <c r="E107" s="106">
        <f t="shared" ca="1" si="6"/>
        <v>-3.1362373391625429</v>
      </c>
    </row>
    <row r="108" spans="1:5">
      <c r="A108" s="107">
        <v>107</v>
      </c>
      <c r="B108" s="106">
        <f t="shared" ca="1" si="6"/>
        <v>0.61723112398802782</v>
      </c>
      <c r="C108" s="106">
        <f t="shared" ca="1" si="6"/>
        <v>-6.329338819545697</v>
      </c>
      <c r="D108" s="106">
        <f t="shared" ca="1" si="6"/>
        <v>-13.185508908340097</v>
      </c>
      <c r="E108" s="106">
        <f t="shared" ca="1" si="6"/>
        <v>-5.0167429535684294</v>
      </c>
    </row>
    <row r="109" spans="1:5">
      <c r="A109" s="107">
        <v>108</v>
      </c>
      <c r="B109" s="106">
        <f t="shared" ca="1" si="6"/>
        <v>21.992068213784371</v>
      </c>
      <c r="C109" s="106">
        <f t="shared" ca="1" si="6"/>
        <v>-15.201501103388424</v>
      </c>
      <c r="D109" s="106">
        <f t="shared" ca="1" si="6"/>
        <v>-11.71436384703815</v>
      </c>
      <c r="E109" s="106">
        <f t="shared" ca="1" si="6"/>
        <v>-0.43342087220178527</v>
      </c>
    </row>
    <row r="110" spans="1:5">
      <c r="A110" s="107">
        <v>109</v>
      </c>
      <c r="B110" s="106">
        <f t="shared" ca="1" si="6"/>
        <v>-4.1844574629626035</v>
      </c>
      <c r="C110" s="106">
        <f t="shared" ca="1" si="6"/>
        <v>-8.0275771167296526</v>
      </c>
      <c r="D110" s="106">
        <f t="shared" ca="1" si="6"/>
        <v>9.2192432492861709</v>
      </c>
      <c r="E110" s="106">
        <f t="shared" ca="1" si="6"/>
        <v>11.594503625577417</v>
      </c>
    </row>
    <row r="111" spans="1:5">
      <c r="A111" s="107">
        <v>110</v>
      </c>
      <c r="B111" s="106">
        <f t="shared" ca="1" si="6"/>
        <v>-10.841078702008428</v>
      </c>
      <c r="C111" s="106">
        <f t="shared" ca="1" si="6"/>
        <v>-13.262984633370529</v>
      </c>
      <c r="D111" s="106">
        <f t="shared" ca="1" si="6"/>
        <v>-10.949866316026071</v>
      </c>
      <c r="E111" s="106">
        <f t="shared" ca="1" si="6"/>
        <v>8.4224367408796343</v>
      </c>
    </row>
    <row r="112" spans="1:5">
      <c r="A112" s="107">
        <v>111</v>
      </c>
      <c r="B112" s="106">
        <f t="shared" ca="1" si="6"/>
        <v>5.603900493366516</v>
      </c>
      <c r="C112" s="106">
        <f t="shared" ca="1" si="6"/>
        <v>6.283432691976456</v>
      </c>
      <c r="D112" s="106">
        <f t="shared" ca="1" si="6"/>
        <v>3.7198411120019772</v>
      </c>
      <c r="E112" s="106">
        <f t="shared" ca="1" si="6"/>
        <v>-12.032029128479412</v>
      </c>
    </row>
    <row r="113" spans="1:5">
      <c r="A113" s="107">
        <v>112</v>
      </c>
      <c r="B113" s="106">
        <f t="shared" ca="1" si="6"/>
        <v>13.878966070221407</v>
      </c>
      <c r="C113" s="106">
        <f t="shared" ca="1" si="6"/>
        <v>-16.7924639437968</v>
      </c>
      <c r="D113" s="106">
        <f t="shared" ca="1" si="6"/>
        <v>-5.6712667688260598</v>
      </c>
      <c r="E113" s="106">
        <f t="shared" ca="1" si="6"/>
        <v>-2.0975817974009834</v>
      </c>
    </row>
    <row r="114" spans="1:5">
      <c r="A114" s="107">
        <v>113</v>
      </c>
      <c r="B114" s="106">
        <f t="shared" ca="1" si="6"/>
        <v>18.459111463328583</v>
      </c>
      <c r="C114" s="106">
        <f t="shared" ca="1" si="6"/>
        <v>-3.2923681675220391</v>
      </c>
      <c r="D114" s="106">
        <f t="shared" ca="1" si="6"/>
        <v>7.595969839772545</v>
      </c>
      <c r="E114" s="106">
        <f t="shared" ca="1" si="6"/>
        <v>-3.8001175587556695</v>
      </c>
    </row>
    <row r="115" spans="1:5">
      <c r="A115" s="107">
        <v>114</v>
      </c>
      <c r="B115" s="106">
        <f t="shared" ca="1" si="6"/>
        <v>2.7496294346754606</v>
      </c>
      <c r="C115" s="106">
        <f t="shared" ca="1" si="6"/>
        <v>8.9932499900721012</v>
      </c>
      <c r="D115" s="106">
        <f t="shared" ca="1" si="6"/>
        <v>15.885698680092602</v>
      </c>
      <c r="E115" s="106">
        <f t="shared" ca="1" si="6"/>
        <v>-18.494951463378708</v>
      </c>
    </row>
    <row r="116" spans="1:5">
      <c r="A116" s="107">
        <v>115</v>
      </c>
      <c r="B116" s="106">
        <f t="shared" ca="1" si="6"/>
        <v>16.535093928193412</v>
      </c>
      <c r="C116" s="106">
        <f t="shared" ca="1" si="6"/>
        <v>9.0289146071450315</v>
      </c>
      <c r="D116" s="106">
        <f t="shared" ca="1" si="6"/>
        <v>8.1181099078367254</v>
      </c>
      <c r="E116" s="106">
        <f t="shared" ca="1" si="6"/>
        <v>-3.37607761762803</v>
      </c>
    </row>
    <row r="117" spans="1:5">
      <c r="A117" s="107">
        <v>116</v>
      </c>
      <c r="B117" s="106">
        <f t="shared" ca="1" si="6"/>
        <v>-11.673346581498972</v>
      </c>
      <c r="C117" s="106">
        <f t="shared" ca="1" si="6"/>
        <v>-19.740423149072409</v>
      </c>
      <c r="D117" s="106">
        <f t="shared" ca="1" si="6"/>
        <v>3.7421176460041576</v>
      </c>
      <c r="E117" s="106">
        <f t="shared" ca="1" si="6"/>
        <v>-12.617283717733587</v>
      </c>
    </row>
    <row r="118" spans="1:5">
      <c r="A118" s="107">
        <v>117</v>
      </c>
      <c r="B118" s="106">
        <f t="shared" ca="1" si="6"/>
        <v>15.752361640572454</v>
      </c>
      <c r="C118" s="106">
        <f t="shared" ca="1" si="6"/>
        <v>-0.13026083454503251</v>
      </c>
      <c r="D118" s="106">
        <f t="shared" ca="1" si="6"/>
        <v>-4.2933369556630581</v>
      </c>
      <c r="E118" s="106">
        <f t="shared" ca="1" si="6"/>
        <v>14.280746236490012</v>
      </c>
    </row>
    <row r="119" spans="1:5">
      <c r="A119" s="107">
        <v>118</v>
      </c>
      <c r="B119" s="106">
        <f t="shared" ca="1" si="6"/>
        <v>-9.5799377546447424</v>
      </c>
      <c r="C119" s="106">
        <f t="shared" ca="1" si="6"/>
        <v>3.3818676513461341</v>
      </c>
      <c r="D119" s="106">
        <f t="shared" ca="1" si="6"/>
        <v>24.291701735435929</v>
      </c>
      <c r="E119" s="106">
        <f t="shared" ca="1" si="6"/>
        <v>-5.2572354182326375</v>
      </c>
    </row>
    <row r="120" spans="1:5">
      <c r="A120" s="107">
        <v>119</v>
      </c>
      <c r="B120" s="106">
        <f t="shared" ca="1" si="6"/>
        <v>-19.63936473764268</v>
      </c>
      <c r="C120" s="106">
        <f t="shared" ca="1" si="6"/>
        <v>-7.4709505756064193E-2</v>
      </c>
      <c r="D120" s="106">
        <f t="shared" ca="1" si="6"/>
        <v>6.7738906440211144</v>
      </c>
      <c r="E120" s="106">
        <f t="shared" ca="1" si="6"/>
        <v>1.9262786663813505</v>
      </c>
    </row>
    <row r="121" spans="1:5">
      <c r="A121" s="107">
        <v>120</v>
      </c>
      <c r="B121" s="106">
        <f t="shared" ca="1" si="6"/>
        <v>-5.2390078961405893</v>
      </c>
      <c r="C121" s="106">
        <f t="shared" ca="1" si="6"/>
        <v>-4.5691582473339469</v>
      </c>
      <c r="D121" s="106">
        <f t="shared" ca="1" si="6"/>
        <v>10.116498106426882</v>
      </c>
      <c r="E121" s="106">
        <f t="shared" ca="1" si="6"/>
        <v>-7.2173930160058362</v>
      </c>
    </row>
    <row r="122" spans="1:5">
      <c r="A122" s="107">
        <v>121</v>
      </c>
      <c r="B122" s="106">
        <f t="shared" ca="1" si="6"/>
        <v>25.840492713757676</v>
      </c>
      <c r="C122" s="106">
        <f t="shared" ca="1" si="6"/>
        <v>6.4731788995493211</v>
      </c>
      <c r="D122" s="106">
        <f t="shared" ca="1" si="6"/>
        <v>-6.0444261263720538</v>
      </c>
      <c r="E122" s="106">
        <f t="shared" ca="1" si="6"/>
        <v>2.5071229833619175</v>
      </c>
    </row>
    <row r="123" spans="1:5">
      <c r="A123" s="107">
        <v>122</v>
      </c>
      <c r="B123" s="106">
        <f t="shared" ca="1" si="6"/>
        <v>-6.1797709419907907</v>
      </c>
      <c r="C123" s="106">
        <f t="shared" ca="1" si="6"/>
        <v>7.2719264142401148</v>
      </c>
      <c r="D123" s="106">
        <f t="shared" ca="1" si="6"/>
        <v>7.715677348420483</v>
      </c>
      <c r="E123" s="106">
        <f t="shared" ca="1" si="6"/>
        <v>1.3212845363849626</v>
      </c>
    </row>
    <row r="124" spans="1:5">
      <c r="A124" s="107">
        <v>123</v>
      </c>
      <c r="B124" s="106">
        <f t="shared" ca="1" si="6"/>
        <v>3.6145923935604758</v>
      </c>
      <c r="C124" s="106">
        <f t="shared" ca="1" si="6"/>
        <v>-17.457228990338702</v>
      </c>
      <c r="D124" s="106">
        <f t="shared" ca="1" si="6"/>
        <v>11.250156174670995</v>
      </c>
      <c r="E124" s="106">
        <f t="shared" ca="1" si="6"/>
        <v>18.795198594147035</v>
      </c>
    </row>
    <row r="125" spans="1:5">
      <c r="A125" s="107">
        <v>124</v>
      </c>
      <c r="B125" s="106">
        <f t="shared" ca="1" si="6"/>
        <v>-7.6652034234862221</v>
      </c>
      <c r="C125" s="106">
        <f t="shared" ca="1" si="6"/>
        <v>0.51335360930665563</v>
      </c>
      <c r="D125" s="106">
        <f t="shared" ca="1" si="6"/>
        <v>2.0546133833750164</v>
      </c>
      <c r="E125" s="106">
        <f t="shared" ca="1" si="6"/>
        <v>-1.9441941266451725</v>
      </c>
    </row>
    <row r="126" spans="1:5">
      <c r="A126" s="107">
        <v>125</v>
      </c>
      <c r="B126" s="106">
        <f t="shared" ca="1" si="6"/>
        <v>-9.2528463061814694</v>
      </c>
      <c r="C126" s="106">
        <f t="shared" ca="1" si="6"/>
        <v>3.0510789733625727</v>
      </c>
      <c r="D126" s="106">
        <f t="shared" ca="1" si="6"/>
        <v>12.408522662151121</v>
      </c>
      <c r="E126" s="106">
        <f t="shared" ca="1" si="6"/>
        <v>2.4083576377255338</v>
      </c>
    </row>
    <row r="127" spans="1:5">
      <c r="A127" s="107">
        <v>126</v>
      </c>
      <c r="B127" s="106">
        <f t="shared" ca="1" si="6"/>
        <v>-0.97199227441926539</v>
      </c>
      <c r="C127" s="106">
        <f t="shared" ca="1" si="6"/>
        <v>5.6394749648243465</v>
      </c>
      <c r="D127" s="106">
        <f t="shared" ca="1" si="6"/>
        <v>-20.200613011638499</v>
      </c>
      <c r="E127" s="106">
        <f t="shared" ca="1" si="6"/>
        <v>0.64032611198311473</v>
      </c>
    </row>
    <row r="128" spans="1:5">
      <c r="A128" s="107">
        <v>127</v>
      </c>
      <c r="B128" s="106">
        <f t="shared" ca="1" si="6"/>
        <v>4.0651619196298769</v>
      </c>
      <c r="C128" s="106">
        <f t="shared" ca="1" si="6"/>
        <v>0.77073258586221893</v>
      </c>
      <c r="D128" s="106">
        <f t="shared" ca="1" si="6"/>
        <v>-10.923163602450765</v>
      </c>
      <c r="E128" s="106">
        <f t="shared" ca="1" si="6"/>
        <v>1.5915105155476363</v>
      </c>
    </row>
    <row r="129" spans="1:5">
      <c r="A129" s="107">
        <v>128</v>
      </c>
      <c r="B129" s="106">
        <f t="shared" ca="1" si="6"/>
        <v>-5.337100172629901</v>
      </c>
      <c r="C129" s="106">
        <f t="shared" ca="1" si="6"/>
        <v>-3.5916440974783717</v>
      </c>
      <c r="D129" s="106">
        <f t="shared" ca="1" si="6"/>
        <v>-2.5634069680485485</v>
      </c>
      <c r="E129" s="106">
        <f t="shared" ca="1" si="6"/>
        <v>12.474031416324227</v>
      </c>
    </row>
    <row r="130" spans="1:5">
      <c r="A130" s="107">
        <v>129</v>
      </c>
      <c r="B130" s="106">
        <f t="shared" ca="1" si="6"/>
        <v>-6.2264510564948772</v>
      </c>
      <c r="C130" s="106">
        <f t="shared" ca="1" si="6"/>
        <v>5.3093508117048422</v>
      </c>
      <c r="D130" s="106">
        <f t="shared" ca="1" si="6"/>
        <v>-9.1392648500640625</v>
      </c>
      <c r="E130" s="106">
        <f t="shared" ca="1" si="6"/>
        <v>-3.4010385208159382</v>
      </c>
    </row>
    <row r="131" spans="1:5">
      <c r="A131" s="107">
        <v>130</v>
      </c>
      <c r="B131" s="106">
        <f t="shared" ca="1" si="6"/>
        <v>-0.16560825025302006</v>
      </c>
      <c r="C131" s="106">
        <f t="shared" ca="1" si="6"/>
        <v>-5.8629277862470026</v>
      </c>
      <c r="D131" s="106">
        <f t="shared" ca="1" si="6"/>
        <v>-2.4692914006499405</v>
      </c>
      <c r="E131" s="106">
        <f t="shared" ca="1" si="6"/>
        <v>-26.933688568598704</v>
      </c>
    </row>
    <row r="132" spans="1:5">
      <c r="A132" s="107">
        <v>131</v>
      </c>
      <c r="B132" s="106">
        <f t="shared" ca="1" si="6"/>
        <v>-22.721230689563441</v>
      </c>
      <c r="C132" s="106">
        <f t="shared" ca="1" si="6"/>
        <v>0.67774073930331513</v>
      </c>
      <c r="D132" s="106">
        <f t="shared" ca="1" si="6"/>
        <v>9.0538708927955298</v>
      </c>
      <c r="E132" s="106">
        <f t="shared" ca="1" si="6"/>
        <v>9.7914457047582975</v>
      </c>
    </row>
    <row r="133" spans="1:5">
      <c r="A133" s="107">
        <v>132</v>
      </c>
      <c r="B133" s="106">
        <f t="shared" ca="1" si="6"/>
        <v>16.469502631720676</v>
      </c>
      <c r="C133" s="106">
        <f t="shared" ca="1" si="6"/>
        <v>-4.3223101388258058</v>
      </c>
      <c r="D133" s="106">
        <f t="shared" ca="1" si="6"/>
        <v>10.609553516134207</v>
      </c>
      <c r="E133" s="106">
        <f t="shared" ca="1" si="6"/>
        <v>2.4256385609030935</v>
      </c>
    </row>
    <row r="134" spans="1:5">
      <c r="A134" s="107">
        <v>133</v>
      </c>
      <c r="B134" s="106">
        <f t="shared" ca="1" si="6"/>
        <v>7.6254928581655097</v>
      </c>
      <c r="C134" s="106">
        <f t="shared" ca="1" si="6"/>
        <v>28.465500189333795</v>
      </c>
      <c r="D134" s="106">
        <f t="shared" ca="1" si="6"/>
        <v>15.977557991361559</v>
      </c>
      <c r="E134" s="106">
        <f t="shared" ca="1" si="6"/>
        <v>15.520671916294058</v>
      </c>
    </row>
    <row r="135" spans="1:5">
      <c r="A135" s="107">
        <v>134</v>
      </c>
      <c r="B135" s="106">
        <f t="shared" ca="1" si="6"/>
        <v>0.88665912625540289</v>
      </c>
      <c r="C135" s="106">
        <f t="shared" ca="1" si="6"/>
        <v>-12.051208504882533</v>
      </c>
      <c r="D135" s="106">
        <f t="shared" ca="1" si="6"/>
        <v>-2.3969553996295154</v>
      </c>
      <c r="E135" s="106">
        <f t="shared" ca="1" si="6"/>
        <v>-8.002125316263859</v>
      </c>
    </row>
    <row r="136" spans="1:5">
      <c r="A136" s="107">
        <v>135</v>
      </c>
      <c r="B136" s="106">
        <f t="shared" ca="1" si="6"/>
        <v>0.77633953745783957</v>
      </c>
      <c r="C136" s="106">
        <f t="shared" ca="1" si="6"/>
        <v>15.777067477497738</v>
      </c>
      <c r="D136" s="106">
        <f t="shared" ca="1" si="6"/>
        <v>13.932746813417968</v>
      </c>
      <c r="E136" s="106">
        <f t="shared" ca="1" si="6"/>
        <v>8.3047692068170011</v>
      </c>
    </row>
    <row r="137" spans="1:5">
      <c r="A137" s="107">
        <v>136</v>
      </c>
      <c r="B137" s="106">
        <f t="shared" ca="1" si="6"/>
        <v>-1.2501308705060938</v>
      </c>
      <c r="C137" s="106">
        <f t="shared" ca="1" si="6"/>
        <v>-3.5783615195007812</v>
      </c>
      <c r="D137" s="106">
        <f t="shared" ca="1" si="6"/>
        <v>-1.4382339806497471</v>
      </c>
      <c r="E137" s="106">
        <f t="shared" ca="1" si="6"/>
        <v>1.5574273709304884</v>
      </c>
    </row>
    <row r="138" spans="1:5">
      <c r="A138" s="107">
        <v>137</v>
      </c>
      <c r="B138" s="106">
        <f t="shared" ca="1" si="6"/>
        <v>-10.081635413899994</v>
      </c>
      <c r="C138" s="106">
        <f t="shared" ca="1" si="6"/>
        <v>-3.0845763700146782</v>
      </c>
      <c r="D138" s="106">
        <f t="shared" ca="1" si="6"/>
        <v>20.711315419539588</v>
      </c>
      <c r="E138" s="106">
        <f t="shared" ca="1" si="6"/>
        <v>-5.5038101325204192</v>
      </c>
    </row>
    <row r="139" spans="1:5">
      <c r="A139" s="107">
        <v>138</v>
      </c>
      <c r="B139" s="106">
        <f t="shared" ca="1" si="6"/>
        <v>-17.936101581103088</v>
      </c>
      <c r="C139" s="106">
        <f t="shared" ca="1" si="6"/>
        <v>-6.4926618975541883</v>
      </c>
      <c r="D139" s="106">
        <f t="shared" ca="1" si="6"/>
        <v>-7.4226401928583776</v>
      </c>
      <c r="E139" s="106">
        <f t="shared" ca="1" si="6"/>
        <v>1.5263125530974482</v>
      </c>
    </row>
    <row r="140" spans="1:5">
      <c r="A140" s="107">
        <v>139</v>
      </c>
      <c r="B140" s="106">
        <f t="shared" ca="1" si="6"/>
        <v>-7.504633294856168</v>
      </c>
      <c r="C140" s="106">
        <f t="shared" ca="1" si="6"/>
        <v>-6.5134175489852133</v>
      </c>
      <c r="D140" s="106">
        <f t="shared" ca="1" si="6"/>
        <v>-16.077801025502335</v>
      </c>
      <c r="E140" s="106">
        <f t="shared" ca="1" si="6"/>
        <v>14.372025713637615</v>
      </c>
    </row>
    <row r="141" spans="1:5">
      <c r="A141" s="107">
        <v>140</v>
      </c>
      <c r="B141" s="106">
        <f t="shared" ca="1" si="6"/>
        <v>1.2225644107017171</v>
      </c>
      <c r="C141" s="106">
        <f t="shared" ca="1" si="6"/>
        <v>-1.7888397887452745</v>
      </c>
      <c r="D141" s="106">
        <f t="shared" ca="1" si="6"/>
        <v>-17.14641258020135</v>
      </c>
      <c r="E141" s="106">
        <f t="shared" ca="1" si="6"/>
        <v>-1.3786519165099544</v>
      </c>
    </row>
    <row r="142" spans="1:5">
      <c r="A142" s="107">
        <v>141</v>
      </c>
      <c r="B142" s="106">
        <f t="shared" ca="1" si="6"/>
        <v>-7.5427860272110934</v>
      </c>
      <c r="C142" s="106">
        <f t="shared" ca="1" si="6"/>
        <v>2.6782523953007615</v>
      </c>
      <c r="D142" s="106">
        <f t="shared" ca="1" si="6"/>
        <v>13.981490644852961</v>
      </c>
      <c r="E142" s="106">
        <f t="shared" ca="1" si="6"/>
        <v>2.4271504380350524</v>
      </c>
    </row>
    <row r="143" spans="1:5">
      <c r="A143" s="107">
        <v>142</v>
      </c>
      <c r="B143" s="106">
        <f t="shared" ca="1" si="6"/>
        <v>-14.50304920659528</v>
      </c>
      <c r="C143" s="106">
        <f t="shared" ca="1" si="6"/>
        <v>-5.0422240165315459</v>
      </c>
      <c r="D143" s="106">
        <f t="shared" ca="1" si="6"/>
        <v>5.5958804085898031</v>
      </c>
      <c r="E143" s="106">
        <f t="shared" ca="1" si="6"/>
        <v>3.4469141188285461</v>
      </c>
    </row>
    <row r="144" spans="1:5">
      <c r="A144" s="107">
        <v>143</v>
      </c>
      <c r="B144" s="106">
        <f t="shared" ca="1" si="6"/>
        <v>0.8196271606333998</v>
      </c>
      <c r="C144" s="106">
        <f t="shared" ca="1" si="6"/>
        <v>-18.485802007125901</v>
      </c>
      <c r="D144" s="106">
        <f t="shared" ca="1" si="6"/>
        <v>-5.9020972545991572</v>
      </c>
      <c r="E144" s="106">
        <f t="shared" ca="1" si="6"/>
        <v>-3.7713467015542901</v>
      </c>
    </row>
    <row r="145" spans="1:5">
      <c r="A145" s="107">
        <v>144</v>
      </c>
      <c r="B145" s="106">
        <f t="shared" ca="1" si="6"/>
        <v>-2.0453005331335135</v>
      </c>
      <c r="C145" s="106">
        <f t="shared" ca="1" si="6"/>
        <v>-12.250318108426999</v>
      </c>
      <c r="D145" s="106">
        <f t="shared" ca="1" si="6"/>
        <v>0.33166512460898756</v>
      </c>
      <c r="E145" s="106">
        <f t="shared" ca="1" si="6"/>
        <v>-0.36419477146673718</v>
      </c>
    </row>
    <row r="146" spans="1:5">
      <c r="A146" s="107">
        <v>145</v>
      </c>
      <c r="B146" s="106">
        <f t="shared" ca="1" si="6"/>
        <v>4.3053785217920577</v>
      </c>
      <c r="C146" s="106">
        <f t="shared" ca="1" si="6"/>
        <v>5.1231404475104512</v>
      </c>
      <c r="D146" s="106">
        <f t="shared" ca="1" si="6"/>
        <v>-0.9027144189062104</v>
      </c>
      <c r="E146" s="106">
        <f t="shared" ca="1" si="6"/>
        <v>-0.39121868472576515</v>
      </c>
    </row>
    <row r="147" spans="1:5">
      <c r="A147" s="107">
        <v>146</v>
      </c>
      <c r="B147" s="106">
        <f t="shared" ca="1" si="6"/>
        <v>5.9376785448561336</v>
      </c>
      <c r="C147" s="106">
        <f t="shared" ca="1" si="6"/>
        <v>15.616356753785421</v>
      </c>
      <c r="D147" s="106">
        <f t="shared" ca="1" si="6"/>
        <v>2.1111930793753504</v>
      </c>
      <c r="E147" s="106">
        <f t="shared" ca="1" si="6"/>
        <v>6.2000563782359723</v>
      </c>
    </row>
    <row r="148" spans="1:5">
      <c r="A148" s="107">
        <v>147</v>
      </c>
      <c r="B148" s="106">
        <f t="shared" ca="1" si="6"/>
        <v>6.9200861949215149</v>
      </c>
      <c r="C148" s="106">
        <f t="shared" ca="1" si="6"/>
        <v>-22.990423445913052</v>
      </c>
      <c r="D148" s="106">
        <f t="shared" ca="1" si="6"/>
        <v>20.159395840541947</v>
      </c>
      <c r="E148" s="106">
        <f t="shared" ca="1" si="6"/>
        <v>-1.3069182415611977</v>
      </c>
    </row>
    <row r="149" spans="1:5">
      <c r="A149" s="107">
        <v>148</v>
      </c>
      <c r="B149" s="106">
        <f t="shared" ca="1" si="6"/>
        <v>-0.26909549366630114</v>
      </c>
      <c r="C149" s="106">
        <f t="shared" ca="1" si="6"/>
        <v>7.4773019093375668</v>
      </c>
      <c r="D149" s="106">
        <f t="shared" ca="1" si="6"/>
        <v>4.2935039862674635</v>
      </c>
      <c r="E149" s="106">
        <f t="shared" ca="1" si="6"/>
        <v>8.567645531367905</v>
      </c>
    </row>
    <row r="150" spans="1:5">
      <c r="A150" s="107">
        <v>149</v>
      </c>
      <c r="B150" s="106">
        <f t="shared" ca="1" si="6"/>
        <v>-4.6373716762246433</v>
      </c>
      <c r="C150" s="106">
        <f t="shared" ca="1" si="6"/>
        <v>1.3805687338315282</v>
      </c>
      <c r="D150" s="106">
        <f t="shared" ca="1" si="6"/>
        <v>2.4680581987062786</v>
      </c>
      <c r="E150" s="106">
        <f t="shared" ca="1" si="6"/>
        <v>-6.3245284343393537</v>
      </c>
    </row>
    <row r="151" spans="1:5">
      <c r="A151" s="107">
        <v>150</v>
      </c>
      <c r="B151" s="106">
        <f t="shared" ref="B151:E151" ca="1" si="7">NORMINV(RAND(),0,10)</f>
        <v>-10.012482720571949</v>
      </c>
      <c r="C151" s="106">
        <f t="shared" ca="1" si="7"/>
        <v>-11.450456266413859</v>
      </c>
      <c r="D151" s="106">
        <f t="shared" ca="1" si="7"/>
        <v>-19.039281604335905</v>
      </c>
      <c r="E151" s="106">
        <f t="shared" ca="1" si="7"/>
        <v>-0.63226937644693615</v>
      </c>
    </row>
  </sheetData>
  <conditionalFormatting sqref="A3:E101 A2 C2:E2 A102:A151">
    <cfRule type="expression" dxfId="2" priority="2">
      <formula>COUNTIFS(batch_bool,1,id_shuf,$B2)</formula>
    </cfRule>
  </conditionalFormatting>
  <conditionalFormatting sqref="B101:E151">
    <cfRule type="expression" dxfId="1" priority="1">
      <formula>COUNTIFS(batch_bool,1,id_shuf,$B101)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B5945-7D6B-FF47-B2D1-31CE9EA2E69F}">
  <sheetPr codeName="Sheet3"/>
  <dimension ref="A1:BB1"/>
  <sheetViews>
    <sheetView topLeftCell="A76" workbookViewId="0">
      <selection activeCell="B91" sqref="B91"/>
    </sheetView>
  </sheetViews>
  <sheetFormatPr baseColWidth="10" defaultRowHeight="15"/>
  <cols>
    <col min="2" max="2" width="16" bestFit="1" customWidth="1"/>
  </cols>
  <sheetData>
    <row r="1" spans="1:54" ht="17">
      <c r="A1" t="s">
        <v>150</v>
      </c>
      <c r="B1" t="s">
        <v>149</v>
      </c>
      <c r="C1" t="s">
        <v>66</v>
      </c>
      <c r="D1" t="s">
        <v>67</v>
      </c>
      <c r="E1" t="s">
        <v>68</v>
      </c>
      <c r="F1" t="s">
        <v>69</v>
      </c>
      <c r="G1" t="s">
        <v>70</v>
      </c>
      <c r="H1" t="s">
        <v>71</v>
      </c>
      <c r="I1" t="s">
        <v>72</v>
      </c>
      <c r="J1" t="s">
        <v>73</v>
      </c>
      <c r="K1" t="s">
        <v>74</v>
      </c>
      <c r="L1" t="s">
        <v>75</v>
      </c>
      <c r="M1" t="s">
        <v>82</v>
      </c>
      <c r="N1" t="s">
        <v>83</v>
      </c>
      <c r="O1" t="s">
        <v>84</v>
      </c>
      <c r="P1" t="s">
        <v>85</v>
      </c>
      <c r="Q1" t="s">
        <v>86</v>
      </c>
      <c r="R1" t="s">
        <v>76</v>
      </c>
      <c r="S1" t="s">
        <v>77</v>
      </c>
      <c r="T1" t="s">
        <v>78</v>
      </c>
      <c r="U1" t="s">
        <v>87</v>
      </c>
      <c r="V1" t="s">
        <v>79</v>
      </c>
      <c r="W1" t="s">
        <v>80</v>
      </c>
      <c r="X1" t="s">
        <v>81</v>
      </c>
      <c r="Y1" t="s">
        <v>88</v>
      </c>
      <c r="Z1" t="s">
        <v>89</v>
      </c>
      <c r="AA1" t="s">
        <v>90</v>
      </c>
      <c r="AB1" t="s">
        <v>91</v>
      </c>
      <c r="AC1" t="s">
        <v>102</v>
      </c>
      <c r="AD1" t="s">
        <v>103</v>
      </c>
      <c r="AE1" t="s">
        <v>104</v>
      </c>
      <c r="AF1" t="s">
        <v>105</v>
      </c>
      <c r="AG1" t="s">
        <v>106</v>
      </c>
      <c r="AH1" t="s">
        <v>107</v>
      </c>
      <c r="AI1" t="s">
        <v>108</v>
      </c>
      <c r="AJ1" t="s">
        <v>109</v>
      </c>
      <c r="AK1" t="s">
        <v>110</v>
      </c>
      <c r="AL1" t="s">
        <v>111</v>
      </c>
      <c r="AM1" t="s">
        <v>112</v>
      </c>
      <c r="AN1" t="s">
        <v>113</v>
      </c>
      <c r="AO1" t="s">
        <v>114</v>
      </c>
      <c r="AP1" t="s">
        <v>115</v>
      </c>
      <c r="AQ1" t="s">
        <v>116</v>
      </c>
      <c r="AR1" t="s">
        <v>117</v>
      </c>
      <c r="AS1" t="s">
        <v>118</v>
      </c>
      <c r="AT1" t="s">
        <v>119</v>
      </c>
      <c r="AU1" t="s">
        <v>120</v>
      </c>
      <c r="AV1" t="s">
        <v>121</v>
      </c>
      <c r="AW1" t="s">
        <v>122</v>
      </c>
      <c r="AX1" t="s">
        <v>123</v>
      </c>
      <c r="AY1" t="s">
        <v>124</v>
      </c>
      <c r="AZ1" t="s">
        <v>125</v>
      </c>
      <c r="BA1" t="s">
        <v>126</v>
      </c>
      <c r="BB1" t="s">
        <v>127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8E7D9-F2B1-104E-BD02-CE975D237C58}">
  <sheetPr codeName="Sheet2"/>
  <dimension ref="A1:H7"/>
  <sheetViews>
    <sheetView zoomScale="163" workbookViewId="0"/>
  </sheetViews>
  <sheetFormatPr baseColWidth="10" defaultRowHeight="15"/>
  <sheetData>
    <row r="1" spans="1:8" ht="16" thickBot="1">
      <c r="A1" s="80">
        <f ca="1">NORMINV(RAND(),0,SQRT(2/3))</f>
        <v>-0.89021858370324325</v>
      </c>
      <c r="B1" s="80">
        <f t="shared" ref="B1:C5" ca="1" si="0">NORMINV(RAND(),0,SQRT(2/3))</f>
        <v>0.53750004097410953</v>
      </c>
      <c r="C1" s="80">
        <f t="shared" ca="1" si="0"/>
        <v>0.50982281388609951</v>
      </c>
      <c r="E1" s="80">
        <f ca="1">NORMINV(RAND(),0,SQRT(2/2))</f>
        <v>0.6342441074037185</v>
      </c>
      <c r="F1" s="80">
        <f t="shared" ref="F1:F4" ca="1" si="1">NORMINV(RAND(),0,SQRT(2/2))</f>
        <v>-0.59834804027329802</v>
      </c>
      <c r="H1" s="80">
        <f ca="1">NORMINV(RAND(),0,SQRT(2/1))</f>
        <v>1.085432212153508</v>
      </c>
    </row>
    <row r="2" spans="1:8" ht="16" thickBot="1">
      <c r="A2" s="80">
        <f t="shared" ref="A2:A5" ca="1" si="2">NORMINV(RAND(),0,SQRT(2/3))</f>
        <v>0.11307994398331415</v>
      </c>
      <c r="B2" s="80">
        <f t="shared" ca="1" si="0"/>
        <v>-8.270262411957105E-2</v>
      </c>
      <c r="C2" s="80">
        <f t="shared" ca="1" si="0"/>
        <v>-0.19317317540866155</v>
      </c>
      <c r="E2" s="80">
        <f t="shared" ref="E2:E4" ca="1" si="3">NORMINV(RAND(),0,SQRT(2/2))</f>
        <v>-0.18160192895272964</v>
      </c>
      <c r="F2" s="80">
        <f t="shared" ca="1" si="1"/>
        <v>-1.5172653887898535</v>
      </c>
      <c r="H2" s="80">
        <f t="shared" ref="H2:H3" ca="1" si="4">NORMINV(RAND(),0,SQRT(2/1))</f>
        <v>-1.0934034982183356</v>
      </c>
    </row>
    <row r="3" spans="1:8" ht="16" thickBot="1">
      <c r="A3" s="80">
        <f t="shared" ca="1" si="2"/>
        <v>0.45870873509648158</v>
      </c>
      <c r="B3" s="80">
        <f t="shared" ca="1" si="0"/>
        <v>0.46616950061639439</v>
      </c>
      <c r="C3" s="80">
        <f t="shared" ca="1" si="0"/>
        <v>1.3372531425241228E-3</v>
      </c>
      <c r="E3" s="80">
        <f t="shared" ca="1" si="3"/>
        <v>-2.4267647796652775E-2</v>
      </c>
      <c r="F3" s="80">
        <f t="shared" ca="1" si="1"/>
        <v>0.83881378998849099</v>
      </c>
      <c r="H3" s="80">
        <f t="shared" ca="1" si="4"/>
        <v>2.7616564982486898</v>
      </c>
    </row>
    <row r="4" spans="1:8" ht="16" thickBot="1">
      <c r="A4" s="80">
        <f t="shared" ca="1" si="2"/>
        <v>-0.32506707495551002</v>
      </c>
      <c r="B4" s="80">
        <f t="shared" ca="1" si="0"/>
        <v>0.15196264413837901</v>
      </c>
      <c r="C4" s="80">
        <f t="shared" ca="1" si="0"/>
        <v>0.35242014905521318</v>
      </c>
      <c r="E4" s="80">
        <f t="shared" ca="1" si="3"/>
        <v>-0.36799556183246684</v>
      </c>
      <c r="F4" s="80">
        <f t="shared" ca="1" si="1"/>
        <v>-1.4586375362666377</v>
      </c>
    </row>
    <row r="5" spans="1:8">
      <c r="A5" s="80">
        <f t="shared" ca="1" si="2"/>
        <v>-8.1246829395770104E-2</v>
      </c>
      <c r="B5" s="80">
        <f t="shared" ca="1" si="0"/>
        <v>-0.83455172227107233</v>
      </c>
      <c r="C5" s="80">
        <f t="shared" ca="1" si="0"/>
        <v>-0.22194506608549328</v>
      </c>
    </row>
    <row r="6" spans="1:8">
      <c r="H6" t="s">
        <v>189</v>
      </c>
    </row>
    <row r="7" spans="1:8">
      <c r="B7" s="10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DD727-8177-C349-B165-53F3533989EE}">
  <sheetPr codeName="Sheet4"/>
  <dimension ref="A1:B4"/>
  <sheetViews>
    <sheetView workbookViewId="0">
      <selection activeCell="B1" sqref="B1:B4"/>
    </sheetView>
  </sheetViews>
  <sheetFormatPr baseColWidth="10" defaultRowHeight="15"/>
  <cols>
    <col min="1" max="1" width="14.1640625" bestFit="1" customWidth="1"/>
  </cols>
  <sheetData>
    <row r="1" spans="1:2">
      <c r="A1" t="s">
        <v>100</v>
      </c>
      <c r="B1" t="s">
        <v>138</v>
      </c>
    </row>
    <row r="2" spans="1:2">
      <c r="A2" t="s">
        <v>98</v>
      </c>
      <c r="B2" t="s">
        <v>140</v>
      </c>
    </row>
    <row r="3" spans="1:2">
      <c r="A3" t="s">
        <v>133</v>
      </c>
      <c r="B3" t="s">
        <v>141</v>
      </c>
    </row>
    <row r="4" spans="1:2">
      <c r="A4" t="s">
        <v>134</v>
      </c>
      <c r="B4" t="s">
        <v>137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6" baseType="variant">
      <vt:variant>
        <vt:lpstr>Worksheets</vt:lpstr>
      </vt:variant>
      <vt:variant>
        <vt:i4>7</vt:i4>
      </vt:variant>
      <vt:variant>
        <vt:lpstr>Charts</vt:lpstr>
      </vt:variant>
      <vt:variant>
        <vt:i4>3</vt:i4>
      </vt:variant>
      <vt:variant>
        <vt:lpstr>Named Ranges</vt:lpstr>
      </vt:variant>
      <vt:variant>
        <vt:i4>107</vt:i4>
      </vt:variant>
    </vt:vector>
  </HeadingPairs>
  <TitlesOfParts>
    <vt:vector size="117" baseType="lpstr">
      <vt:lpstr>Tutorial</vt:lpstr>
      <vt:lpstr>HowTo</vt:lpstr>
      <vt:lpstr>neural_net</vt:lpstr>
      <vt:lpstr>new_training_data</vt:lpstr>
      <vt:lpstr>result</vt:lpstr>
      <vt:lpstr>initial_random_weights</vt:lpstr>
      <vt:lpstr>Sheet2</vt:lpstr>
      <vt:lpstr>MSE</vt:lpstr>
      <vt:lpstr>weights</vt:lpstr>
      <vt:lpstr>Predictions vs actual</vt:lpstr>
      <vt:lpstr>a_10</vt:lpstr>
      <vt:lpstr>a_11</vt:lpstr>
      <vt:lpstr>a_12</vt:lpstr>
      <vt:lpstr>a_13</vt:lpstr>
      <vt:lpstr>a_14</vt:lpstr>
      <vt:lpstr>a_20</vt:lpstr>
      <vt:lpstr>a_21</vt:lpstr>
      <vt:lpstr>a_21d</vt:lpstr>
      <vt:lpstr>a_22</vt:lpstr>
      <vt:lpstr>a_22d</vt:lpstr>
      <vt:lpstr>a_23</vt:lpstr>
      <vt:lpstr>a_23d</vt:lpstr>
      <vt:lpstr>a_30</vt:lpstr>
      <vt:lpstr>a_31</vt:lpstr>
      <vt:lpstr>a_31d</vt:lpstr>
      <vt:lpstr>a_32</vt:lpstr>
      <vt:lpstr>a_32d</vt:lpstr>
      <vt:lpstr>a_4</vt:lpstr>
      <vt:lpstr>a_4d</vt:lpstr>
      <vt:lpstr>activation_2</vt:lpstr>
      <vt:lpstr>activation_3</vt:lpstr>
      <vt:lpstr>activation_4</vt:lpstr>
      <vt:lpstr>activation_choices</vt:lpstr>
      <vt:lpstr>adam_1</vt:lpstr>
      <vt:lpstr>adam_2</vt:lpstr>
      <vt:lpstr>adam_3</vt:lpstr>
      <vt:lpstr>batch_bool</vt:lpstr>
      <vt:lpstr>batch_cnt</vt:lpstr>
      <vt:lpstr>batch_num</vt:lpstr>
      <vt:lpstr>batch_size</vt:lpstr>
      <vt:lpstr>beta_1</vt:lpstr>
      <vt:lpstr>beta_2</vt:lpstr>
      <vt:lpstr>cv_h_x</vt:lpstr>
      <vt:lpstr>cv_y</vt:lpstr>
      <vt:lpstr>d_21</vt:lpstr>
      <vt:lpstr>d_22</vt:lpstr>
      <vt:lpstr>d_23</vt:lpstr>
      <vt:lpstr>d_3</vt:lpstr>
      <vt:lpstr>d_30</vt:lpstr>
      <vt:lpstr>d_31</vt:lpstr>
      <vt:lpstr>d_32</vt:lpstr>
      <vt:lpstr>d_4</vt:lpstr>
      <vt:lpstr>dropout_active</vt:lpstr>
      <vt:lpstr>h_x</vt:lpstr>
      <vt:lpstr>id</vt:lpstr>
      <vt:lpstr>id_shuf</vt:lpstr>
      <vt:lpstr>lambda</vt:lpstr>
      <vt:lpstr>learning_rate</vt:lpstr>
      <vt:lpstr>mean_squared_error</vt:lpstr>
      <vt:lpstr>momentum_1</vt:lpstr>
      <vt:lpstr>momentum_2</vt:lpstr>
      <vt:lpstr>momentum_3</vt:lpstr>
      <vt:lpstr>new_cv_data</vt:lpstr>
      <vt:lpstr>new_training_data</vt:lpstr>
      <vt:lpstr>old_cv_data</vt:lpstr>
      <vt:lpstr>old_training_data</vt:lpstr>
      <vt:lpstr>optimization</vt:lpstr>
      <vt:lpstr>optimization_choices</vt:lpstr>
      <vt:lpstr>rms_prop_1</vt:lpstr>
      <vt:lpstr>rms_prop_2</vt:lpstr>
      <vt:lpstr>rms_prop_3</vt:lpstr>
      <vt:lpstr>s_dtheta_1</vt:lpstr>
      <vt:lpstr>s_dtheta_2</vt:lpstr>
      <vt:lpstr>s_dtheta_3</vt:lpstr>
      <vt:lpstr>shuffle</vt:lpstr>
      <vt:lpstr>tester</vt:lpstr>
      <vt:lpstr>theta_1</vt:lpstr>
      <vt:lpstr>theta_1_new</vt:lpstr>
      <vt:lpstr>theta_11</vt:lpstr>
      <vt:lpstr>theta_12</vt:lpstr>
      <vt:lpstr>theta_13</vt:lpstr>
      <vt:lpstr>theta_2</vt:lpstr>
      <vt:lpstr>theta_2_0</vt:lpstr>
      <vt:lpstr>theta_2_1</vt:lpstr>
      <vt:lpstr>theta_2_2</vt:lpstr>
      <vt:lpstr>theta_2_3</vt:lpstr>
      <vt:lpstr>theta_2_new</vt:lpstr>
      <vt:lpstr>theta_21</vt:lpstr>
      <vt:lpstr>theta_210</vt:lpstr>
      <vt:lpstr>theta_211</vt:lpstr>
      <vt:lpstr>theta_212</vt:lpstr>
      <vt:lpstr>theta_213</vt:lpstr>
      <vt:lpstr>theta_22</vt:lpstr>
      <vt:lpstr>theta_220</vt:lpstr>
      <vt:lpstr>theta_221</vt:lpstr>
      <vt:lpstr>theta_222</vt:lpstr>
      <vt:lpstr>theta_223</vt:lpstr>
      <vt:lpstr>theta_3</vt:lpstr>
      <vt:lpstr>theta_3_new</vt:lpstr>
      <vt:lpstr>theta_31</vt:lpstr>
      <vt:lpstr>theta_310</vt:lpstr>
      <vt:lpstr>theta_311</vt:lpstr>
      <vt:lpstr>theta_312</vt:lpstr>
      <vt:lpstr>total_cost</vt:lpstr>
      <vt:lpstr>v_dtheta_1</vt:lpstr>
      <vt:lpstr>v_dtheta_2</vt:lpstr>
      <vt:lpstr>v_dtheta_3</vt:lpstr>
      <vt:lpstr>validation_cost</vt:lpstr>
      <vt:lpstr>weights_current</vt:lpstr>
      <vt:lpstr>weights_new</vt:lpstr>
      <vt:lpstr>X_1</vt:lpstr>
      <vt:lpstr>X_2</vt:lpstr>
      <vt:lpstr>X_3</vt:lpstr>
      <vt:lpstr>X_4</vt:lpstr>
      <vt:lpstr>y</vt:lpstr>
      <vt:lpstr>y_shuf</vt:lpstr>
      <vt:lpstr>z_4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2019-04-01T14:04:24Z</dcterms:created>
  <dcterms:modified xsi:type="dcterms:W3CDTF">2019-06-21T02:35:37Z</dcterms:modified>
</cp:coreProperties>
</file>